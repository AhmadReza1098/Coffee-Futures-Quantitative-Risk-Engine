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Cit-MQA\Risk Analysis- Coffee C\"/>
    </mc:Choice>
  </mc:AlternateContent>
  <xr:revisionPtr revIDLastSave="0" documentId="8_{55E8DE87-3609-4C31-8389-CDB2F628B92A}" xr6:coauthVersionLast="47" xr6:coauthVersionMax="47" xr10:uidLastSave="{00000000-0000-0000-0000-000000000000}"/>
  <bookViews>
    <workbookView xWindow="-110" yWindow="-110" windowWidth="19420" windowHeight="10300" xr2:uid="{187B4675-4581-4850-9BA8-38239830AA08}"/>
  </bookViews>
  <sheets>
    <sheet name="Executive Summary " sheetId="5" r:id="rId1"/>
    <sheet name="Report Dashboard" sheetId="3" r:id="rId2"/>
    <sheet name="Cost of Carry Model" sheetId="1" r:id="rId3"/>
    <sheet name="Black-Scholes Model" sheetId="2" r:id="rId4"/>
    <sheet name="Monte Carlo Simulation" sheetId="4" r:id="rId5"/>
  </sheets>
  <definedNames>
    <definedName name="_xlnm.Print_Area" localSheetId="1">'Report Dashboard'!$A$1:$Q$101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3" l="1"/>
  <c r="E45" i="3"/>
  <c r="E44" i="3"/>
  <c r="D13" i="5"/>
  <c r="D11" i="5"/>
  <c r="G7" i="4"/>
  <c r="D6" i="4" l="1"/>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J5" i="4" l="1"/>
  <c r="J6" i="4" s="1"/>
  <c r="N6" i="4" l="1"/>
  <c r="N7" i="4" s="1"/>
  <c r="N8" i="4" s="1"/>
  <c r="N9" i="4" s="1"/>
  <c r="N10" i="4" s="1"/>
  <c r="N11" i="4" s="1"/>
  <c r="N12" i="4" s="1"/>
  <c r="N13" i="4" s="1"/>
  <c r="N14" i="4" s="1"/>
  <c r="N15" i="4" s="1"/>
  <c r="N16" i="4" s="1"/>
  <c r="N17" i="4" s="1"/>
  <c r="N18" i="4" s="1"/>
  <c r="N19" i="4" s="1"/>
  <c r="N20" i="4" s="1"/>
  <c r="N21" i="4" s="1"/>
  <c r="N22" i="4" s="1"/>
  <c r="N23" i="4" s="1"/>
  <c r="N24" i="4" s="1"/>
  <c r="N25" i="4" s="1"/>
  <c r="N26" i="4" s="1"/>
  <c r="N27" i="4" s="1"/>
  <c r="N28" i="4" s="1"/>
  <c r="N29" i="4" s="1"/>
  <c r="N30" i="4" s="1"/>
  <c r="N31" i="4" s="1"/>
  <c r="N32" i="4" s="1"/>
  <c r="N33" i="4" s="1"/>
  <c r="N34" i="4" s="1"/>
  <c r="N35" i="4" s="1"/>
  <c r="N36" i="4" s="1"/>
  <c r="N37" i="4" s="1"/>
  <c r="N38" i="4" s="1"/>
  <c r="N39" i="4" s="1"/>
  <c r="N40" i="4" s="1"/>
  <c r="N41" i="4" s="1"/>
  <c r="N42" i="4" s="1"/>
  <c r="N43" i="4" s="1"/>
  <c r="N44" i="4" s="1"/>
  <c r="N45" i="4" s="1"/>
  <c r="N46" i="4" s="1"/>
  <c r="N47" i="4" s="1"/>
  <c r="N48" i="4" s="1"/>
  <c r="N49" i="4" s="1"/>
  <c r="N50" i="4" s="1"/>
  <c r="N51" i="4" s="1"/>
  <c r="N52" i="4" s="1"/>
  <c r="N53" i="4" s="1"/>
  <c r="N54" i="4" s="1"/>
  <c r="N55" i="4" s="1"/>
  <c r="N56" i="4" s="1"/>
  <c r="N57" i="4" s="1"/>
  <c r="N58" i="4" s="1"/>
  <c r="N59" i="4" s="1"/>
  <c r="N60" i="4" s="1"/>
  <c r="N61" i="4" s="1"/>
  <c r="N62" i="4" s="1"/>
  <c r="N63" i="4" s="1"/>
  <c r="N64" i="4" s="1"/>
  <c r="N65" i="4" s="1"/>
  <c r="N66" i="4" s="1"/>
  <c r="N67" i="4" s="1"/>
  <c r="N68" i="4" s="1"/>
  <c r="N69" i="4" s="1"/>
  <c r="N70" i="4" s="1"/>
  <c r="N71" i="4" s="1"/>
  <c r="N72" i="4" s="1"/>
  <c r="N73" i="4" s="1"/>
  <c r="N74" i="4" s="1"/>
  <c r="N75" i="4" s="1"/>
  <c r="N76" i="4" s="1"/>
  <c r="N77" i="4" s="1"/>
  <c r="N78" i="4" s="1"/>
  <c r="N79" i="4" s="1"/>
  <c r="N80" i="4" s="1"/>
  <c r="N81" i="4" s="1"/>
  <c r="N82" i="4" s="1"/>
  <c r="N83" i="4" s="1"/>
  <c r="N84" i="4" s="1"/>
  <c r="N85" i="4" s="1"/>
  <c r="N86" i="4" s="1"/>
  <c r="N87" i="4" s="1"/>
  <c r="N88" i="4" s="1"/>
  <c r="N89" i="4" s="1"/>
  <c r="N90" i="4" s="1"/>
  <c r="N91" i="4" s="1"/>
  <c r="N92" i="4" s="1"/>
  <c r="N93" i="4" s="1"/>
  <c r="N94" i="4" s="1"/>
  <c r="N95" i="4" s="1"/>
  <c r="N96" i="4" s="1"/>
  <c r="N97" i="4" s="1"/>
  <c r="N98" i="4" s="1"/>
  <c r="N99" i="4" s="1"/>
  <c r="N100" i="4" s="1"/>
  <c r="N101" i="4" s="1"/>
  <c r="N102" i="4" s="1"/>
  <c r="N103" i="4" s="1"/>
  <c r="N104" i="4" s="1"/>
  <c r="N105" i="4" s="1"/>
  <c r="N106" i="4" s="1"/>
  <c r="N107" i="4" s="1"/>
  <c r="N108" i="4" s="1"/>
  <c r="N109" i="4" s="1"/>
  <c r="N110" i="4" s="1"/>
  <c r="N111" i="4" s="1"/>
  <c r="N112" i="4" s="1"/>
  <c r="N113" i="4" s="1"/>
  <c r="N114" i="4" s="1"/>
  <c r="N115" i="4" s="1"/>
  <c r="N116" i="4" s="1"/>
  <c r="N117" i="4" s="1"/>
  <c r="N118" i="4" s="1"/>
  <c r="N119" i="4" s="1"/>
  <c r="N120" i="4" s="1"/>
  <c r="N121" i="4" s="1"/>
  <c r="N122" i="4" s="1"/>
  <c r="N123" i="4" s="1"/>
  <c r="N124" i="4" s="1"/>
  <c r="N125" i="4" s="1"/>
  <c r="N126" i="4" s="1"/>
  <c r="N127" i="4" s="1"/>
  <c r="N128" i="4" s="1"/>
  <c r="N129" i="4" s="1"/>
  <c r="N130" i="4" s="1"/>
  <c r="Z6" i="4"/>
  <c r="Z7" i="4" s="1"/>
  <c r="Z8" i="4" s="1"/>
  <c r="Z9" i="4" s="1"/>
  <c r="Z10" i="4" s="1"/>
  <c r="Z11" i="4" s="1"/>
  <c r="Z12" i="4" s="1"/>
  <c r="Z13" i="4" s="1"/>
  <c r="Z14" i="4" s="1"/>
  <c r="Z15" i="4" s="1"/>
  <c r="Z16" i="4" s="1"/>
  <c r="Z17" i="4" s="1"/>
  <c r="Z18" i="4" s="1"/>
  <c r="Z19" i="4" s="1"/>
  <c r="Z20" i="4" s="1"/>
  <c r="Z21" i="4" s="1"/>
  <c r="Z22" i="4" s="1"/>
  <c r="Z23" i="4" s="1"/>
  <c r="Z24" i="4" s="1"/>
  <c r="Z25" i="4" s="1"/>
  <c r="Z26" i="4" s="1"/>
  <c r="Z27" i="4" s="1"/>
  <c r="Z28" i="4" s="1"/>
  <c r="Z29" i="4" s="1"/>
  <c r="Z30" i="4" s="1"/>
  <c r="Z31" i="4" s="1"/>
  <c r="Z32" i="4" s="1"/>
  <c r="Z33" i="4" s="1"/>
  <c r="Z34" i="4" s="1"/>
  <c r="Z35" i="4" s="1"/>
  <c r="Z36" i="4" s="1"/>
  <c r="Z37" i="4" s="1"/>
  <c r="Z38" i="4" s="1"/>
  <c r="Z39" i="4" s="1"/>
  <c r="Z40" i="4" s="1"/>
  <c r="Z41" i="4" s="1"/>
  <c r="Z42" i="4" s="1"/>
  <c r="Z43" i="4" s="1"/>
  <c r="Z44" i="4" s="1"/>
  <c r="Z45" i="4" s="1"/>
  <c r="Z46" i="4" s="1"/>
  <c r="Z47" i="4" s="1"/>
  <c r="Z48" i="4" s="1"/>
  <c r="Z49" i="4" s="1"/>
  <c r="Z50" i="4" s="1"/>
  <c r="Z51" i="4" s="1"/>
  <c r="Z52" i="4" s="1"/>
  <c r="Z53" i="4" s="1"/>
  <c r="Z54" i="4" s="1"/>
  <c r="Z55" i="4" s="1"/>
  <c r="Z56" i="4" s="1"/>
  <c r="Z57" i="4" s="1"/>
  <c r="Z58" i="4" s="1"/>
  <c r="Z59" i="4" s="1"/>
  <c r="Z60" i="4" s="1"/>
  <c r="Z61" i="4" s="1"/>
  <c r="Z62" i="4" s="1"/>
  <c r="Z63" i="4" s="1"/>
  <c r="Z64" i="4" s="1"/>
  <c r="Z65" i="4" s="1"/>
  <c r="Z66" i="4" s="1"/>
  <c r="Z67" i="4" s="1"/>
  <c r="Z68" i="4" s="1"/>
  <c r="Z69" i="4" s="1"/>
  <c r="Z70" i="4" s="1"/>
  <c r="Z71" i="4" s="1"/>
  <c r="Z72" i="4" s="1"/>
  <c r="Z73" i="4" s="1"/>
  <c r="Z74" i="4" s="1"/>
  <c r="Z75" i="4" s="1"/>
  <c r="Z76" i="4" s="1"/>
  <c r="Z77" i="4" s="1"/>
  <c r="Z78" i="4" s="1"/>
  <c r="Z79" i="4" s="1"/>
  <c r="Z80" i="4" s="1"/>
  <c r="Z81" i="4" s="1"/>
  <c r="Z82" i="4" s="1"/>
  <c r="Z83" i="4" s="1"/>
  <c r="Z84" i="4" s="1"/>
  <c r="Z85" i="4" s="1"/>
  <c r="Z86" i="4" s="1"/>
  <c r="Z87" i="4" s="1"/>
  <c r="Z88" i="4" s="1"/>
  <c r="Z89" i="4" s="1"/>
  <c r="Z90" i="4" s="1"/>
  <c r="Z91" i="4" s="1"/>
  <c r="Z92" i="4" s="1"/>
  <c r="Z93" i="4" s="1"/>
  <c r="Z94" i="4" s="1"/>
  <c r="Z95" i="4" s="1"/>
  <c r="Z96" i="4" s="1"/>
  <c r="Z97" i="4" s="1"/>
  <c r="Z98" i="4" s="1"/>
  <c r="Z99" i="4" s="1"/>
  <c r="Z100" i="4" s="1"/>
  <c r="Z101" i="4" s="1"/>
  <c r="Z102" i="4" s="1"/>
  <c r="Z103" i="4" s="1"/>
  <c r="Z104" i="4" s="1"/>
  <c r="Z105" i="4" s="1"/>
  <c r="Z106" i="4" s="1"/>
  <c r="Z107" i="4" s="1"/>
  <c r="Z108" i="4" s="1"/>
  <c r="Z109" i="4" s="1"/>
  <c r="Z110" i="4" s="1"/>
  <c r="Z111" i="4" s="1"/>
  <c r="Z112" i="4" s="1"/>
  <c r="Z113" i="4" s="1"/>
  <c r="Z114" i="4" s="1"/>
  <c r="Z115" i="4" s="1"/>
  <c r="Z116" i="4" s="1"/>
  <c r="Z117" i="4" s="1"/>
  <c r="Z118" i="4" s="1"/>
  <c r="Z119" i="4" s="1"/>
  <c r="Z120" i="4" s="1"/>
  <c r="Z121" i="4" s="1"/>
  <c r="Z122" i="4" s="1"/>
  <c r="Z123" i="4" s="1"/>
  <c r="Z124" i="4" s="1"/>
  <c r="Z125" i="4" s="1"/>
  <c r="Z126" i="4" s="1"/>
  <c r="Z127" i="4" s="1"/>
  <c r="Z128" i="4" s="1"/>
  <c r="Z129" i="4" s="1"/>
  <c r="Z130" i="4" s="1"/>
  <c r="AL6" i="4"/>
  <c r="AL7" i="4" s="1"/>
  <c r="AL8" i="4" s="1"/>
  <c r="AL9" i="4" s="1"/>
  <c r="AL10" i="4" s="1"/>
  <c r="AL11" i="4" s="1"/>
  <c r="AL12" i="4" s="1"/>
  <c r="AL13" i="4" s="1"/>
  <c r="AL14" i="4" s="1"/>
  <c r="AL15" i="4" s="1"/>
  <c r="AL16" i="4" s="1"/>
  <c r="AL17" i="4" s="1"/>
  <c r="AL18" i="4" s="1"/>
  <c r="AL19" i="4" s="1"/>
  <c r="AL20" i="4" s="1"/>
  <c r="AL21" i="4" s="1"/>
  <c r="AL22" i="4" s="1"/>
  <c r="AL23" i="4" s="1"/>
  <c r="AL24" i="4" s="1"/>
  <c r="AL25" i="4" s="1"/>
  <c r="AL26" i="4" s="1"/>
  <c r="AL27" i="4" s="1"/>
  <c r="AL28" i="4" s="1"/>
  <c r="AL29" i="4" s="1"/>
  <c r="AL30" i="4" s="1"/>
  <c r="AL31" i="4" s="1"/>
  <c r="AL32" i="4" s="1"/>
  <c r="AL33" i="4" s="1"/>
  <c r="AL34" i="4" s="1"/>
  <c r="AL35" i="4" s="1"/>
  <c r="AL36" i="4" s="1"/>
  <c r="AL37" i="4" s="1"/>
  <c r="AL38" i="4" s="1"/>
  <c r="AL39" i="4" s="1"/>
  <c r="AL40" i="4" s="1"/>
  <c r="AL41" i="4" s="1"/>
  <c r="AL42" i="4" s="1"/>
  <c r="AL43" i="4" s="1"/>
  <c r="AL44" i="4" s="1"/>
  <c r="AL45" i="4" s="1"/>
  <c r="AL46" i="4" s="1"/>
  <c r="AL47" i="4" s="1"/>
  <c r="AL48" i="4" s="1"/>
  <c r="AL49" i="4" s="1"/>
  <c r="AL50" i="4" s="1"/>
  <c r="AL51" i="4" s="1"/>
  <c r="AL52" i="4" s="1"/>
  <c r="AL53" i="4" s="1"/>
  <c r="AL54" i="4" s="1"/>
  <c r="AL55" i="4" s="1"/>
  <c r="AL56" i="4" s="1"/>
  <c r="AL57" i="4" s="1"/>
  <c r="AL58" i="4" s="1"/>
  <c r="AL59" i="4" s="1"/>
  <c r="AL60" i="4" s="1"/>
  <c r="AL61" i="4" s="1"/>
  <c r="AL62" i="4" s="1"/>
  <c r="AL63" i="4" s="1"/>
  <c r="AL64" i="4" s="1"/>
  <c r="AL65" i="4" s="1"/>
  <c r="AL66" i="4" s="1"/>
  <c r="AL67" i="4" s="1"/>
  <c r="AL68" i="4" s="1"/>
  <c r="AL69" i="4" s="1"/>
  <c r="AL70" i="4" s="1"/>
  <c r="AL71" i="4" s="1"/>
  <c r="AL72" i="4" s="1"/>
  <c r="AL73" i="4" s="1"/>
  <c r="AL74" i="4" s="1"/>
  <c r="AL75" i="4" s="1"/>
  <c r="AL76" i="4" s="1"/>
  <c r="AL77" i="4" s="1"/>
  <c r="AL78" i="4" s="1"/>
  <c r="AL79" i="4" s="1"/>
  <c r="AL80" i="4" s="1"/>
  <c r="AL81" i="4" s="1"/>
  <c r="AL82" i="4" s="1"/>
  <c r="AL83" i="4" s="1"/>
  <c r="AL84" i="4" s="1"/>
  <c r="AL85" i="4" s="1"/>
  <c r="AL86" i="4" s="1"/>
  <c r="AL87" i="4" s="1"/>
  <c r="AL88" i="4" s="1"/>
  <c r="AL89" i="4" s="1"/>
  <c r="AL90" i="4" s="1"/>
  <c r="AL91" i="4" s="1"/>
  <c r="AL92" i="4" s="1"/>
  <c r="AL93" i="4" s="1"/>
  <c r="AL94" i="4" s="1"/>
  <c r="AL95" i="4" s="1"/>
  <c r="AL96" i="4" s="1"/>
  <c r="AL97" i="4" s="1"/>
  <c r="AL98" i="4" s="1"/>
  <c r="AL99" i="4" s="1"/>
  <c r="AL100" i="4" s="1"/>
  <c r="AL101" i="4" s="1"/>
  <c r="AL102" i="4" s="1"/>
  <c r="AL103" i="4" s="1"/>
  <c r="AL104" i="4" s="1"/>
  <c r="AL105" i="4" s="1"/>
  <c r="AL106" i="4" s="1"/>
  <c r="AL107" i="4" s="1"/>
  <c r="AL108" i="4" s="1"/>
  <c r="AL109" i="4" s="1"/>
  <c r="AL110" i="4" s="1"/>
  <c r="AL111" i="4" s="1"/>
  <c r="AL112" i="4" s="1"/>
  <c r="AL113" i="4" s="1"/>
  <c r="AL114" i="4" s="1"/>
  <c r="AL115" i="4" s="1"/>
  <c r="AL116" i="4" s="1"/>
  <c r="AL117" i="4" s="1"/>
  <c r="AL118" i="4" s="1"/>
  <c r="AL119" i="4" s="1"/>
  <c r="AL120" i="4" s="1"/>
  <c r="AL121" i="4" s="1"/>
  <c r="AL122" i="4" s="1"/>
  <c r="AL123" i="4" s="1"/>
  <c r="AL124" i="4" s="1"/>
  <c r="AL125" i="4" s="1"/>
  <c r="AL126" i="4" s="1"/>
  <c r="AL127" i="4" s="1"/>
  <c r="AL128" i="4" s="1"/>
  <c r="AL129" i="4" s="1"/>
  <c r="AL130" i="4" s="1"/>
  <c r="AX6" i="4"/>
  <c r="AX7" i="4" s="1"/>
  <c r="AX8" i="4" s="1"/>
  <c r="AX9" i="4" s="1"/>
  <c r="AX10" i="4" s="1"/>
  <c r="AX11" i="4" s="1"/>
  <c r="AX12" i="4" s="1"/>
  <c r="AX13" i="4" s="1"/>
  <c r="AX14" i="4" s="1"/>
  <c r="AX15" i="4" s="1"/>
  <c r="AX16" i="4" s="1"/>
  <c r="AX17" i="4" s="1"/>
  <c r="AX18" i="4" s="1"/>
  <c r="AX19" i="4" s="1"/>
  <c r="AX20" i="4" s="1"/>
  <c r="AX21" i="4" s="1"/>
  <c r="AX22" i="4" s="1"/>
  <c r="AX23" i="4" s="1"/>
  <c r="AX24" i="4" s="1"/>
  <c r="AX25" i="4" s="1"/>
  <c r="AX26" i="4" s="1"/>
  <c r="AX27" i="4" s="1"/>
  <c r="AX28" i="4" s="1"/>
  <c r="AX29" i="4" s="1"/>
  <c r="AX30" i="4" s="1"/>
  <c r="AX31" i="4" s="1"/>
  <c r="AX32" i="4" s="1"/>
  <c r="AX33" i="4" s="1"/>
  <c r="AX34" i="4" s="1"/>
  <c r="AX35" i="4" s="1"/>
  <c r="AX36" i="4" s="1"/>
  <c r="AX37" i="4" s="1"/>
  <c r="AX38" i="4" s="1"/>
  <c r="AX39" i="4" s="1"/>
  <c r="AX40" i="4" s="1"/>
  <c r="AX41" i="4" s="1"/>
  <c r="AX42" i="4" s="1"/>
  <c r="AX43" i="4" s="1"/>
  <c r="AX44" i="4" s="1"/>
  <c r="AX45" i="4" s="1"/>
  <c r="AX46" i="4" s="1"/>
  <c r="AX47" i="4" s="1"/>
  <c r="AX48" i="4" s="1"/>
  <c r="AX49" i="4" s="1"/>
  <c r="AX50" i="4" s="1"/>
  <c r="AX51" i="4" s="1"/>
  <c r="AX52" i="4" s="1"/>
  <c r="AX53" i="4" s="1"/>
  <c r="AX54" i="4" s="1"/>
  <c r="AX55" i="4" s="1"/>
  <c r="AX56" i="4" s="1"/>
  <c r="AX57" i="4" s="1"/>
  <c r="AX58" i="4" s="1"/>
  <c r="AX59" i="4" s="1"/>
  <c r="AX60" i="4" s="1"/>
  <c r="AX61" i="4" s="1"/>
  <c r="AX62" i="4" s="1"/>
  <c r="AX63" i="4" s="1"/>
  <c r="AX64" i="4" s="1"/>
  <c r="AX65" i="4" s="1"/>
  <c r="AX66" i="4" s="1"/>
  <c r="AX67" i="4" s="1"/>
  <c r="AX68" i="4" s="1"/>
  <c r="AX69" i="4" s="1"/>
  <c r="AX70" i="4" s="1"/>
  <c r="AX71" i="4" s="1"/>
  <c r="AX72" i="4" s="1"/>
  <c r="AX73" i="4" s="1"/>
  <c r="AX74" i="4" s="1"/>
  <c r="AX75" i="4" s="1"/>
  <c r="AX76" i="4" s="1"/>
  <c r="AX77" i="4" s="1"/>
  <c r="AX78" i="4" s="1"/>
  <c r="AX79" i="4" s="1"/>
  <c r="AX80" i="4" s="1"/>
  <c r="AX81" i="4" s="1"/>
  <c r="AX82" i="4" s="1"/>
  <c r="AX83" i="4" s="1"/>
  <c r="AX84" i="4" s="1"/>
  <c r="AX85" i="4" s="1"/>
  <c r="AX86" i="4" s="1"/>
  <c r="AX87" i="4" s="1"/>
  <c r="AX88" i="4" s="1"/>
  <c r="AX89" i="4" s="1"/>
  <c r="AX90" i="4" s="1"/>
  <c r="AX91" i="4" s="1"/>
  <c r="AX92" i="4" s="1"/>
  <c r="AX93" i="4" s="1"/>
  <c r="AX94" i="4" s="1"/>
  <c r="AX95" i="4" s="1"/>
  <c r="AX96" i="4" s="1"/>
  <c r="AX97" i="4" s="1"/>
  <c r="AX98" i="4" s="1"/>
  <c r="AX99" i="4" s="1"/>
  <c r="AX100" i="4" s="1"/>
  <c r="AX101" i="4" s="1"/>
  <c r="AX102" i="4" s="1"/>
  <c r="AX103" i="4" s="1"/>
  <c r="AX104" i="4" s="1"/>
  <c r="AX105" i="4" s="1"/>
  <c r="AX106" i="4" s="1"/>
  <c r="AX107" i="4" s="1"/>
  <c r="AX108" i="4" s="1"/>
  <c r="AX109" i="4" s="1"/>
  <c r="AX110" i="4" s="1"/>
  <c r="AX111" i="4" s="1"/>
  <c r="AX112" i="4" s="1"/>
  <c r="AX113" i="4" s="1"/>
  <c r="AX114" i="4" s="1"/>
  <c r="AX115" i="4" s="1"/>
  <c r="AX116" i="4" s="1"/>
  <c r="AX117" i="4" s="1"/>
  <c r="AX118" i="4" s="1"/>
  <c r="AX119" i="4" s="1"/>
  <c r="AX120" i="4" s="1"/>
  <c r="AX121" i="4" s="1"/>
  <c r="AX122" i="4" s="1"/>
  <c r="AX123" i="4" s="1"/>
  <c r="AX124" i="4" s="1"/>
  <c r="AX125" i="4" s="1"/>
  <c r="AX126" i="4" s="1"/>
  <c r="AX127" i="4" s="1"/>
  <c r="AX128" i="4" s="1"/>
  <c r="AX129" i="4" s="1"/>
  <c r="AX130" i="4" s="1"/>
  <c r="O6" i="4"/>
  <c r="O7" i="4" s="1"/>
  <c r="O8" i="4" s="1"/>
  <c r="O9" i="4" s="1"/>
  <c r="O10" i="4" s="1"/>
  <c r="O11" i="4" s="1"/>
  <c r="O12" i="4" s="1"/>
  <c r="O13" i="4" s="1"/>
  <c r="O14" i="4" s="1"/>
  <c r="O15" i="4" s="1"/>
  <c r="O16" i="4" s="1"/>
  <c r="O17" i="4" s="1"/>
  <c r="O18" i="4" s="1"/>
  <c r="O19" i="4" s="1"/>
  <c r="O20" i="4" s="1"/>
  <c r="O21" i="4" s="1"/>
  <c r="O22" i="4" s="1"/>
  <c r="O23" i="4" s="1"/>
  <c r="O24" i="4" s="1"/>
  <c r="O25" i="4" s="1"/>
  <c r="O26" i="4" s="1"/>
  <c r="O27" i="4" s="1"/>
  <c r="O28" i="4" s="1"/>
  <c r="O29" i="4" s="1"/>
  <c r="O30" i="4" s="1"/>
  <c r="O31" i="4" s="1"/>
  <c r="O32" i="4" s="1"/>
  <c r="O33" i="4" s="1"/>
  <c r="O34" i="4" s="1"/>
  <c r="O35" i="4" s="1"/>
  <c r="O36" i="4" s="1"/>
  <c r="O37" i="4" s="1"/>
  <c r="O38" i="4" s="1"/>
  <c r="O39" i="4" s="1"/>
  <c r="O40" i="4" s="1"/>
  <c r="O41" i="4" s="1"/>
  <c r="O42" i="4" s="1"/>
  <c r="O43" i="4" s="1"/>
  <c r="O44" i="4" s="1"/>
  <c r="O45" i="4" s="1"/>
  <c r="O46" i="4" s="1"/>
  <c r="O47" i="4" s="1"/>
  <c r="O48" i="4" s="1"/>
  <c r="O49" i="4" s="1"/>
  <c r="O50" i="4" s="1"/>
  <c r="O51" i="4" s="1"/>
  <c r="O52" i="4" s="1"/>
  <c r="O53" i="4" s="1"/>
  <c r="O54" i="4" s="1"/>
  <c r="O55" i="4" s="1"/>
  <c r="O56" i="4" s="1"/>
  <c r="O57" i="4" s="1"/>
  <c r="O58" i="4" s="1"/>
  <c r="O59" i="4" s="1"/>
  <c r="O60" i="4" s="1"/>
  <c r="O61" i="4" s="1"/>
  <c r="O62" i="4" s="1"/>
  <c r="O63" i="4" s="1"/>
  <c r="O64" i="4" s="1"/>
  <c r="O65" i="4" s="1"/>
  <c r="O66" i="4" s="1"/>
  <c r="O67" i="4" s="1"/>
  <c r="O68" i="4" s="1"/>
  <c r="O69" i="4" s="1"/>
  <c r="O70" i="4" s="1"/>
  <c r="O71" i="4" s="1"/>
  <c r="O72" i="4" s="1"/>
  <c r="O73" i="4" s="1"/>
  <c r="O74" i="4" s="1"/>
  <c r="O75" i="4" s="1"/>
  <c r="O76" i="4" s="1"/>
  <c r="O77" i="4" s="1"/>
  <c r="O78" i="4" s="1"/>
  <c r="O79" i="4" s="1"/>
  <c r="O80" i="4" s="1"/>
  <c r="O81" i="4" s="1"/>
  <c r="O82" i="4" s="1"/>
  <c r="O83" i="4" s="1"/>
  <c r="O84" i="4" s="1"/>
  <c r="O85" i="4" s="1"/>
  <c r="O86" i="4" s="1"/>
  <c r="O87" i="4" s="1"/>
  <c r="O88" i="4" s="1"/>
  <c r="O89" i="4" s="1"/>
  <c r="O90" i="4" s="1"/>
  <c r="O91" i="4" s="1"/>
  <c r="O92" i="4" s="1"/>
  <c r="O93" i="4" s="1"/>
  <c r="O94" i="4" s="1"/>
  <c r="O95" i="4" s="1"/>
  <c r="O96" i="4" s="1"/>
  <c r="O97" i="4" s="1"/>
  <c r="O98" i="4" s="1"/>
  <c r="O99" i="4" s="1"/>
  <c r="O100" i="4" s="1"/>
  <c r="O101" i="4" s="1"/>
  <c r="O102" i="4" s="1"/>
  <c r="O103" i="4" s="1"/>
  <c r="O104" i="4" s="1"/>
  <c r="O105" i="4" s="1"/>
  <c r="O106" i="4" s="1"/>
  <c r="O107" i="4" s="1"/>
  <c r="O108" i="4" s="1"/>
  <c r="O109" i="4" s="1"/>
  <c r="O110" i="4" s="1"/>
  <c r="O111" i="4" s="1"/>
  <c r="O112" i="4" s="1"/>
  <c r="O113" i="4" s="1"/>
  <c r="O114" i="4" s="1"/>
  <c r="O115" i="4" s="1"/>
  <c r="O116" i="4" s="1"/>
  <c r="O117" i="4" s="1"/>
  <c r="O118" i="4" s="1"/>
  <c r="O119" i="4" s="1"/>
  <c r="O120" i="4" s="1"/>
  <c r="O121" i="4" s="1"/>
  <c r="O122" i="4" s="1"/>
  <c r="O123" i="4" s="1"/>
  <c r="O124" i="4" s="1"/>
  <c r="O125" i="4" s="1"/>
  <c r="O126" i="4" s="1"/>
  <c r="O127" i="4" s="1"/>
  <c r="O128" i="4" s="1"/>
  <c r="O129" i="4" s="1"/>
  <c r="O130" i="4" s="1"/>
  <c r="AA6" i="4"/>
  <c r="AA7" i="4" s="1"/>
  <c r="AA8" i="4" s="1"/>
  <c r="AA9" i="4" s="1"/>
  <c r="AA10" i="4" s="1"/>
  <c r="AA11" i="4" s="1"/>
  <c r="AA12" i="4" s="1"/>
  <c r="AA13" i="4" s="1"/>
  <c r="AA14" i="4" s="1"/>
  <c r="AA15" i="4" s="1"/>
  <c r="AA16" i="4" s="1"/>
  <c r="AA17" i="4" s="1"/>
  <c r="AA18" i="4" s="1"/>
  <c r="AA19" i="4" s="1"/>
  <c r="AA20" i="4" s="1"/>
  <c r="AA21" i="4" s="1"/>
  <c r="AA22" i="4" s="1"/>
  <c r="AA23" i="4" s="1"/>
  <c r="AA24" i="4" s="1"/>
  <c r="AA25" i="4" s="1"/>
  <c r="AA26" i="4" s="1"/>
  <c r="AA27" i="4" s="1"/>
  <c r="AA28" i="4" s="1"/>
  <c r="AA29" i="4" s="1"/>
  <c r="AA30" i="4" s="1"/>
  <c r="AA31" i="4" s="1"/>
  <c r="AA32" i="4" s="1"/>
  <c r="AA33" i="4" s="1"/>
  <c r="AA34" i="4" s="1"/>
  <c r="AA35" i="4" s="1"/>
  <c r="AA36" i="4" s="1"/>
  <c r="AA37" i="4" s="1"/>
  <c r="AA38" i="4" s="1"/>
  <c r="AA39" i="4" s="1"/>
  <c r="AA40" i="4" s="1"/>
  <c r="AA41" i="4" s="1"/>
  <c r="AA42" i="4" s="1"/>
  <c r="AA43" i="4" s="1"/>
  <c r="AA44" i="4" s="1"/>
  <c r="AA45" i="4" s="1"/>
  <c r="AA46" i="4" s="1"/>
  <c r="AA47" i="4" s="1"/>
  <c r="AA48" i="4" s="1"/>
  <c r="AA49" i="4" s="1"/>
  <c r="AA50" i="4" s="1"/>
  <c r="AA51" i="4" s="1"/>
  <c r="AA52" i="4" s="1"/>
  <c r="AA53" i="4" s="1"/>
  <c r="AA54" i="4" s="1"/>
  <c r="AA55" i="4" s="1"/>
  <c r="AA56" i="4" s="1"/>
  <c r="AA57" i="4" s="1"/>
  <c r="AA58" i="4" s="1"/>
  <c r="AA59" i="4" s="1"/>
  <c r="AA60" i="4" s="1"/>
  <c r="AA61" i="4" s="1"/>
  <c r="AA62" i="4" s="1"/>
  <c r="AA63" i="4" s="1"/>
  <c r="AA64" i="4" s="1"/>
  <c r="AA65" i="4" s="1"/>
  <c r="AA66" i="4" s="1"/>
  <c r="AA67" i="4" s="1"/>
  <c r="AA68" i="4" s="1"/>
  <c r="AA69" i="4" s="1"/>
  <c r="AA70" i="4" s="1"/>
  <c r="AA71" i="4" s="1"/>
  <c r="AA72" i="4" s="1"/>
  <c r="AA73" i="4" s="1"/>
  <c r="AA74" i="4" s="1"/>
  <c r="AA75" i="4" s="1"/>
  <c r="AA76" i="4" s="1"/>
  <c r="AA77" i="4" s="1"/>
  <c r="AA78" i="4" s="1"/>
  <c r="AA79" i="4" s="1"/>
  <c r="AA80" i="4" s="1"/>
  <c r="AA81" i="4" s="1"/>
  <c r="AA82" i="4" s="1"/>
  <c r="AA83" i="4" s="1"/>
  <c r="AA84" i="4" s="1"/>
  <c r="AA85" i="4" s="1"/>
  <c r="AA86" i="4" s="1"/>
  <c r="AA87" i="4" s="1"/>
  <c r="AA88" i="4" s="1"/>
  <c r="AA89" i="4" s="1"/>
  <c r="AA90" i="4" s="1"/>
  <c r="AA91" i="4" s="1"/>
  <c r="AA92" i="4" s="1"/>
  <c r="AA93" i="4" s="1"/>
  <c r="AA94" i="4" s="1"/>
  <c r="AA95" i="4" s="1"/>
  <c r="AA96" i="4" s="1"/>
  <c r="AA97" i="4" s="1"/>
  <c r="AA98" i="4" s="1"/>
  <c r="AA99" i="4" s="1"/>
  <c r="AA100" i="4" s="1"/>
  <c r="AA101" i="4" s="1"/>
  <c r="AA102" i="4" s="1"/>
  <c r="AA103" i="4" s="1"/>
  <c r="AA104" i="4" s="1"/>
  <c r="AA105" i="4" s="1"/>
  <c r="AA106" i="4" s="1"/>
  <c r="AA107" i="4" s="1"/>
  <c r="AA108" i="4" s="1"/>
  <c r="AA109" i="4" s="1"/>
  <c r="AA110" i="4" s="1"/>
  <c r="AA111" i="4" s="1"/>
  <c r="AA112" i="4" s="1"/>
  <c r="AA113" i="4" s="1"/>
  <c r="AA114" i="4" s="1"/>
  <c r="AA115" i="4" s="1"/>
  <c r="AA116" i="4" s="1"/>
  <c r="AA117" i="4" s="1"/>
  <c r="AA118" i="4" s="1"/>
  <c r="AA119" i="4" s="1"/>
  <c r="AA120" i="4" s="1"/>
  <c r="AA121" i="4" s="1"/>
  <c r="AA122" i="4" s="1"/>
  <c r="AA123" i="4" s="1"/>
  <c r="AA124" i="4" s="1"/>
  <c r="AA125" i="4" s="1"/>
  <c r="AA126" i="4" s="1"/>
  <c r="AA127" i="4" s="1"/>
  <c r="AA128" i="4" s="1"/>
  <c r="AA129" i="4" s="1"/>
  <c r="AA130" i="4" s="1"/>
  <c r="AM6" i="4"/>
  <c r="AM7" i="4" s="1"/>
  <c r="AM8" i="4" s="1"/>
  <c r="AM9" i="4" s="1"/>
  <c r="AM10" i="4" s="1"/>
  <c r="AM11" i="4" s="1"/>
  <c r="AM12" i="4" s="1"/>
  <c r="AM13" i="4" s="1"/>
  <c r="AM14" i="4" s="1"/>
  <c r="AM15" i="4" s="1"/>
  <c r="AM16" i="4" s="1"/>
  <c r="AM17" i="4" s="1"/>
  <c r="AM18" i="4" s="1"/>
  <c r="AM19" i="4" s="1"/>
  <c r="AM20" i="4" s="1"/>
  <c r="AM21" i="4" s="1"/>
  <c r="AM22" i="4" s="1"/>
  <c r="AM23" i="4" s="1"/>
  <c r="AM24" i="4" s="1"/>
  <c r="AM25" i="4" s="1"/>
  <c r="AM26" i="4" s="1"/>
  <c r="AM27" i="4" s="1"/>
  <c r="AM28" i="4" s="1"/>
  <c r="AM29" i="4" s="1"/>
  <c r="AM30" i="4" s="1"/>
  <c r="AM31" i="4" s="1"/>
  <c r="AM32" i="4" s="1"/>
  <c r="AM33" i="4" s="1"/>
  <c r="AM34" i="4" s="1"/>
  <c r="AM35" i="4" s="1"/>
  <c r="AM36" i="4" s="1"/>
  <c r="AM37" i="4" s="1"/>
  <c r="AM38" i="4" s="1"/>
  <c r="AM39" i="4" s="1"/>
  <c r="AM40" i="4" s="1"/>
  <c r="AM41" i="4" s="1"/>
  <c r="AM42" i="4" s="1"/>
  <c r="AM43" i="4" s="1"/>
  <c r="AM44" i="4" s="1"/>
  <c r="AM45" i="4" s="1"/>
  <c r="AM46" i="4" s="1"/>
  <c r="AM47" i="4" s="1"/>
  <c r="AM48" i="4" s="1"/>
  <c r="AM49" i="4" s="1"/>
  <c r="AM50" i="4" s="1"/>
  <c r="AM51" i="4" s="1"/>
  <c r="AM52" i="4" s="1"/>
  <c r="AM53" i="4" s="1"/>
  <c r="AM54" i="4" s="1"/>
  <c r="AM55" i="4" s="1"/>
  <c r="AM56" i="4" s="1"/>
  <c r="AM57" i="4" s="1"/>
  <c r="AM58" i="4" s="1"/>
  <c r="AM59" i="4" s="1"/>
  <c r="AM60" i="4" s="1"/>
  <c r="AM61" i="4" s="1"/>
  <c r="AM62" i="4" s="1"/>
  <c r="AM63" i="4" s="1"/>
  <c r="AM64" i="4" s="1"/>
  <c r="AM65" i="4" s="1"/>
  <c r="AM66" i="4" s="1"/>
  <c r="AM67" i="4" s="1"/>
  <c r="AM68" i="4" s="1"/>
  <c r="AM69" i="4" s="1"/>
  <c r="AM70" i="4" s="1"/>
  <c r="AM71" i="4" s="1"/>
  <c r="AM72" i="4" s="1"/>
  <c r="AM73" i="4" s="1"/>
  <c r="AM74" i="4" s="1"/>
  <c r="AM75" i="4" s="1"/>
  <c r="AM76" i="4" s="1"/>
  <c r="AM77" i="4" s="1"/>
  <c r="AM78" i="4" s="1"/>
  <c r="AM79" i="4" s="1"/>
  <c r="AM80" i="4" s="1"/>
  <c r="AM81" i="4" s="1"/>
  <c r="AM82" i="4" s="1"/>
  <c r="AM83" i="4" s="1"/>
  <c r="AM84" i="4" s="1"/>
  <c r="AM85" i="4" s="1"/>
  <c r="AM86" i="4" s="1"/>
  <c r="AM87" i="4" s="1"/>
  <c r="AM88" i="4" s="1"/>
  <c r="AM89" i="4" s="1"/>
  <c r="AM90" i="4" s="1"/>
  <c r="AM91" i="4" s="1"/>
  <c r="AM92" i="4" s="1"/>
  <c r="AM93" i="4" s="1"/>
  <c r="AM94" i="4" s="1"/>
  <c r="AM95" i="4" s="1"/>
  <c r="AM96" i="4" s="1"/>
  <c r="AM97" i="4" s="1"/>
  <c r="AM98" i="4" s="1"/>
  <c r="AM99" i="4" s="1"/>
  <c r="AM100" i="4" s="1"/>
  <c r="AM101" i="4" s="1"/>
  <c r="AM102" i="4" s="1"/>
  <c r="AM103" i="4" s="1"/>
  <c r="AM104" i="4" s="1"/>
  <c r="AM105" i="4" s="1"/>
  <c r="AM106" i="4" s="1"/>
  <c r="AM107" i="4" s="1"/>
  <c r="AM108" i="4" s="1"/>
  <c r="AM109" i="4" s="1"/>
  <c r="AM110" i="4" s="1"/>
  <c r="AM111" i="4" s="1"/>
  <c r="AM112" i="4" s="1"/>
  <c r="AM113" i="4" s="1"/>
  <c r="AM114" i="4" s="1"/>
  <c r="AM115" i="4" s="1"/>
  <c r="AM116" i="4" s="1"/>
  <c r="AM117" i="4" s="1"/>
  <c r="AM118" i="4" s="1"/>
  <c r="AM119" i="4" s="1"/>
  <c r="AM120" i="4" s="1"/>
  <c r="AM121" i="4" s="1"/>
  <c r="AM122" i="4" s="1"/>
  <c r="AM123" i="4" s="1"/>
  <c r="AM124" i="4" s="1"/>
  <c r="AM125" i="4" s="1"/>
  <c r="AM126" i="4" s="1"/>
  <c r="AM127" i="4" s="1"/>
  <c r="AM128" i="4" s="1"/>
  <c r="AM129" i="4" s="1"/>
  <c r="AM130" i="4" s="1"/>
  <c r="AY6" i="4"/>
  <c r="AY7" i="4" s="1"/>
  <c r="AY8" i="4" s="1"/>
  <c r="AY9" i="4" s="1"/>
  <c r="AY10" i="4" s="1"/>
  <c r="AY11" i="4" s="1"/>
  <c r="AY12" i="4" s="1"/>
  <c r="AY13" i="4" s="1"/>
  <c r="AY14" i="4" s="1"/>
  <c r="AY15" i="4" s="1"/>
  <c r="AY16" i="4" s="1"/>
  <c r="AY17" i="4" s="1"/>
  <c r="AY18" i="4" s="1"/>
  <c r="AY19" i="4" s="1"/>
  <c r="AY20" i="4" s="1"/>
  <c r="AY21" i="4" s="1"/>
  <c r="AY22" i="4" s="1"/>
  <c r="AY23" i="4" s="1"/>
  <c r="AY24" i="4" s="1"/>
  <c r="AY25" i="4" s="1"/>
  <c r="AY26" i="4" s="1"/>
  <c r="AY27" i="4" s="1"/>
  <c r="AY28" i="4" s="1"/>
  <c r="AY29" i="4" s="1"/>
  <c r="AY30" i="4" s="1"/>
  <c r="AY31" i="4" s="1"/>
  <c r="AY32" i="4" s="1"/>
  <c r="AY33" i="4" s="1"/>
  <c r="AY34" i="4" s="1"/>
  <c r="AY35" i="4" s="1"/>
  <c r="AY36" i="4" s="1"/>
  <c r="AY37" i="4" s="1"/>
  <c r="AY38" i="4" s="1"/>
  <c r="AY39" i="4" s="1"/>
  <c r="AY40" i="4" s="1"/>
  <c r="AY41" i="4" s="1"/>
  <c r="AY42" i="4" s="1"/>
  <c r="AY43" i="4" s="1"/>
  <c r="AY44" i="4" s="1"/>
  <c r="AY45" i="4" s="1"/>
  <c r="AY46" i="4" s="1"/>
  <c r="AY47" i="4" s="1"/>
  <c r="AY48" i="4" s="1"/>
  <c r="AY49" i="4" s="1"/>
  <c r="AY50" i="4" s="1"/>
  <c r="AY51" i="4" s="1"/>
  <c r="AY52" i="4" s="1"/>
  <c r="AY53" i="4" s="1"/>
  <c r="AY54" i="4" s="1"/>
  <c r="AY55" i="4" s="1"/>
  <c r="AY56" i="4" s="1"/>
  <c r="AY57" i="4" s="1"/>
  <c r="AY58" i="4" s="1"/>
  <c r="AY59" i="4" s="1"/>
  <c r="AY60" i="4" s="1"/>
  <c r="AY61" i="4" s="1"/>
  <c r="AY62" i="4" s="1"/>
  <c r="AY63" i="4" s="1"/>
  <c r="AY64" i="4" s="1"/>
  <c r="AY65" i="4" s="1"/>
  <c r="AY66" i="4" s="1"/>
  <c r="AY67" i="4" s="1"/>
  <c r="AY68" i="4" s="1"/>
  <c r="AY69" i="4" s="1"/>
  <c r="AY70" i="4" s="1"/>
  <c r="AY71" i="4" s="1"/>
  <c r="AY72" i="4" s="1"/>
  <c r="AY73" i="4" s="1"/>
  <c r="AY74" i="4" s="1"/>
  <c r="AY75" i="4" s="1"/>
  <c r="AY76" i="4" s="1"/>
  <c r="AY77" i="4" s="1"/>
  <c r="AY78" i="4" s="1"/>
  <c r="AY79" i="4" s="1"/>
  <c r="AY80" i="4" s="1"/>
  <c r="AY81" i="4" s="1"/>
  <c r="AY82" i="4" s="1"/>
  <c r="AY83" i="4" s="1"/>
  <c r="AY84" i="4" s="1"/>
  <c r="AY85" i="4" s="1"/>
  <c r="AY86" i="4" s="1"/>
  <c r="AY87" i="4" s="1"/>
  <c r="AY88" i="4" s="1"/>
  <c r="AY89" i="4" s="1"/>
  <c r="AY90" i="4" s="1"/>
  <c r="AY91" i="4" s="1"/>
  <c r="AY92" i="4" s="1"/>
  <c r="AY93" i="4" s="1"/>
  <c r="AY94" i="4" s="1"/>
  <c r="AY95" i="4" s="1"/>
  <c r="AY96" i="4" s="1"/>
  <c r="AY97" i="4" s="1"/>
  <c r="AY98" i="4" s="1"/>
  <c r="AY99" i="4" s="1"/>
  <c r="AY100" i="4" s="1"/>
  <c r="AY101" i="4" s="1"/>
  <c r="AY102" i="4" s="1"/>
  <c r="AY103" i="4" s="1"/>
  <c r="AY104" i="4" s="1"/>
  <c r="AY105" i="4" s="1"/>
  <c r="AY106" i="4" s="1"/>
  <c r="AY107" i="4" s="1"/>
  <c r="AY108" i="4" s="1"/>
  <c r="AY109" i="4" s="1"/>
  <c r="AY110" i="4" s="1"/>
  <c r="AY111" i="4" s="1"/>
  <c r="AY112" i="4" s="1"/>
  <c r="AY113" i="4" s="1"/>
  <c r="AY114" i="4" s="1"/>
  <c r="AY115" i="4" s="1"/>
  <c r="AY116" i="4" s="1"/>
  <c r="AY117" i="4" s="1"/>
  <c r="AY118" i="4" s="1"/>
  <c r="AY119" i="4" s="1"/>
  <c r="AY120" i="4" s="1"/>
  <c r="AY121" i="4" s="1"/>
  <c r="AY122" i="4" s="1"/>
  <c r="AY123" i="4" s="1"/>
  <c r="AY124" i="4" s="1"/>
  <c r="AY125" i="4" s="1"/>
  <c r="AY126" i="4" s="1"/>
  <c r="AY127" i="4" s="1"/>
  <c r="AY128" i="4" s="1"/>
  <c r="AY129" i="4" s="1"/>
  <c r="AY130" i="4" s="1"/>
  <c r="P6" i="4"/>
  <c r="P7" i="4" s="1"/>
  <c r="P8" i="4" s="1"/>
  <c r="P9" i="4" s="1"/>
  <c r="P10" i="4" s="1"/>
  <c r="P11" i="4" s="1"/>
  <c r="P12" i="4" s="1"/>
  <c r="P13" i="4" s="1"/>
  <c r="P14" i="4" s="1"/>
  <c r="P15" i="4" s="1"/>
  <c r="P16" i="4" s="1"/>
  <c r="P17" i="4" s="1"/>
  <c r="P18" i="4" s="1"/>
  <c r="P19" i="4" s="1"/>
  <c r="P20" i="4" s="1"/>
  <c r="P21" i="4" s="1"/>
  <c r="P22" i="4" s="1"/>
  <c r="P23" i="4" s="1"/>
  <c r="P24" i="4" s="1"/>
  <c r="P25" i="4" s="1"/>
  <c r="P26" i="4" s="1"/>
  <c r="P27" i="4" s="1"/>
  <c r="P28" i="4" s="1"/>
  <c r="P29" i="4" s="1"/>
  <c r="P30" i="4" s="1"/>
  <c r="P31" i="4" s="1"/>
  <c r="P32" i="4" s="1"/>
  <c r="P33" i="4" s="1"/>
  <c r="P34" i="4" s="1"/>
  <c r="P35" i="4" s="1"/>
  <c r="P36" i="4" s="1"/>
  <c r="P37" i="4" s="1"/>
  <c r="P38" i="4" s="1"/>
  <c r="P39" i="4" s="1"/>
  <c r="P40" i="4" s="1"/>
  <c r="P41" i="4" s="1"/>
  <c r="P42" i="4" s="1"/>
  <c r="P43" i="4" s="1"/>
  <c r="P44" i="4" s="1"/>
  <c r="P45" i="4" s="1"/>
  <c r="P46" i="4" s="1"/>
  <c r="P47" i="4" s="1"/>
  <c r="P48" i="4" s="1"/>
  <c r="P49" i="4" s="1"/>
  <c r="P50" i="4" s="1"/>
  <c r="P51" i="4" s="1"/>
  <c r="P52" i="4" s="1"/>
  <c r="P53" i="4" s="1"/>
  <c r="P54" i="4" s="1"/>
  <c r="P55" i="4" s="1"/>
  <c r="P56" i="4" s="1"/>
  <c r="P57" i="4" s="1"/>
  <c r="P58" i="4" s="1"/>
  <c r="P59" i="4" s="1"/>
  <c r="P60" i="4" s="1"/>
  <c r="P61" i="4" s="1"/>
  <c r="P62" i="4" s="1"/>
  <c r="P63" i="4" s="1"/>
  <c r="P64" i="4" s="1"/>
  <c r="P65" i="4" s="1"/>
  <c r="P66" i="4" s="1"/>
  <c r="P67" i="4" s="1"/>
  <c r="P68" i="4" s="1"/>
  <c r="P69" i="4" s="1"/>
  <c r="P70" i="4" s="1"/>
  <c r="P71" i="4" s="1"/>
  <c r="P72" i="4" s="1"/>
  <c r="P73" i="4" s="1"/>
  <c r="P74" i="4" s="1"/>
  <c r="P75" i="4" s="1"/>
  <c r="P76" i="4" s="1"/>
  <c r="P77" i="4" s="1"/>
  <c r="P78" i="4" s="1"/>
  <c r="P79" i="4" s="1"/>
  <c r="P80" i="4" s="1"/>
  <c r="P81" i="4" s="1"/>
  <c r="P82" i="4" s="1"/>
  <c r="P83" i="4" s="1"/>
  <c r="P84" i="4" s="1"/>
  <c r="P85" i="4" s="1"/>
  <c r="P86" i="4" s="1"/>
  <c r="P87" i="4" s="1"/>
  <c r="P88" i="4" s="1"/>
  <c r="P89" i="4" s="1"/>
  <c r="P90" i="4" s="1"/>
  <c r="P91" i="4" s="1"/>
  <c r="P92" i="4" s="1"/>
  <c r="P93" i="4" s="1"/>
  <c r="P94" i="4" s="1"/>
  <c r="P95" i="4" s="1"/>
  <c r="P96" i="4" s="1"/>
  <c r="P97" i="4" s="1"/>
  <c r="P98" i="4" s="1"/>
  <c r="P99" i="4" s="1"/>
  <c r="P100" i="4" s="1"/>
  <c r="P101" i="4" s="1"/>
  <c r="P102" i="4" s="1"/>
  <c r="P103" i="4" s="1"/>
  <c r="P104" i="4" s="1"/>
  <c r="P105" i="4" s="1"/>
  <c r="P106" i="4" s="1"/>
  <c r="P107" i="4" s="1"/>
  <c r="P108" i="4" s="1"/>
  <c r="P109" i="4" s="1"/>
  <c r="P110" i="4" s="1"/>
  <c r="P111" i="4" s="1"/>
  <c r="P112" i="4" s="1"/>
  <c r="P113" i="4" s="1"/>
  <c r="P114" i="4" s="1"/>
  <c r="P115" i="4" s="1"/>
  <c r="P116" i="4" s="1"/>
  <c r="P117" i="4" s="1"/>
  <c r="P118" i="4" s="1"/>
  <c r="P119" i="4" s="1"/>
  <c r="P120" i="4" s="1"/>
  <c r="P121" i="4" s="1"/>
  <c r="P122" i="4" s="1"/>
  <c r="P123" i="4" s="1"/>
  <c r="P124" i="4" s="1"/>
  <c r="P125" i="4" s="1"/>
  <c r="P126" i="4" s="1"/>
  <c r="P127" i="4" s="1"/>
  <c r="P128" i="4" s="1"/>
  <c r="P129" i="4" s="1"/>
  <c r="P130" i="4" s="1"/>
  <c r="AB6" i="4"/>
  <c r="AB7" i="4" s="1"/>
  <c r="AB8" i="4" s="1"/>
  <c r="AB9" i="4" s="1"/>
  <c r="AB10" i="4" s="1"/>
  <c r="AB11" i="4" s="1"/>
  <c r="AB12" i="4" s="1"/>
  <c r="AB13" i="4" s="1"/>
  <c r="AB14" i="4" s="1"/>
  <c r="AB15" i="4" s="1"/>
  <c r="AB16" i="4" s="1"/>
  <c r="AB17" i="4" s="1"/>
  <c r="AB18" i="4" s="1"/>
  <c r="AB19" i="4" s="1"/>
  <c r="AB20" i="4" s="1"/>
  <c r="AB21" i="4" s="1"/>
  <c r="AB22" i="4" s="1"/>
  <c r="AB23" i="4" s="1"/>
  <c r="AB24" i="4" s="1"/>
  <c r="AB25" i="4" s="1"/>
  <c r="AB26" i="4" s="1"/>
  <c r="AB27" i="4" s="1"/>
  <c r="AB28" i="4" s="1"/>
  <c r="AB29" i="4" s="1"/>
  <c r="AB30" i="4" s="1"/>
  <c r="AB31" i="4" s="1"/>
  <c r="AB32" i="4" s="1"/>
  <c r="AB33" i="4" s="1"/>
  <c r="AB34" i="4" s="1"/>
  <c r="AB35" i="4" s="1"/>
  <c r="AB36" i="4" s="1"/>
  <c r="AB37" i="4" s="1"/>
  <c r="AB38" i="4" s="1"/>
  <c r="AB39" i="4" s="1"/>
  <c r="AB40" i="4" s="1"/>
  <c r="AB41" i="4" s="1"/>
  <c r="AB42" i="4" s="1"/>
  <c r="AB43" i="4" s="1"/>
  <c r="AB44" i="4" s="1"/>
  <c r="AB45" i="4" s="1"/>
  <c r="AB46" i="4" s="1"/>
  <c r="AB47" i="4" s="1"/>
  <c r="AB48" i="4" s="1"/>
  <c r="AB49" i="4" s="1"/>
  <c r="AB50" i="4" s="1"/>
  <c r="AB51" i="4" s="1"/>
  <c r="AB52" i="4" s="1"/>
  <c r="AB53" i="4" s="1"/>
  <c r="AB54" i="4" s="1"/>
  <c r="AB55" i="4" s="1"/>
  <c r="AB56" i="4" s="1"/>
  <c r="AB57" i="4" s="1"/>
  <c r="AB58" i="4" s="1"/>
  <c r="AB59" i="4" s="1"/>
  <c r="AB60" i="4" s="1"/>
  <c r="AB61" i="4" s="1"/>
  <c r="AB62" i="4" s="1"/>
  <c r="AB63" i="4" s="1"/>
  <c r="AB64" i="4" s="1"/>
  <c r="AB65" i="4" s="1"/>
  <c r="AB66" i="4" s="1"/>
  <c r="AB67" i="4" s="1"/>
  <c r="AB68" i="4" s="1"/>
  <c r="AB69" i="4" s="1"/>
  <c r="AB70" i="4" s="1"/>
  <c r="AB71" i="4" s="1"/>
  <c r="AB72" i="4" s="1"/>
  <c r="AB73" i="4" s="1"/>
  <c r="AB74" i="4" s="1"/>
  <c r="AB75" i="4" s="1"/>
  <c r="AB76" i="4" s="1"/>
  <c r="AB77" i="4" s="1"/>
  <c r="AB78" i="4" s="1"/>
  <c r="AB79" i="4" s="1"/>
  <c r="AB80" i="4" s="1"/>
  <c r="AB81" i="4" s="1"/>
  <c r="AB82" i="4" s="1"/>
  <c r="AB83" i="4" s="1"/>
  <c r="AB84" i="4" s="1"/>
  <c r="AB85" i="4" s="1"/>
  <c r="AB86" i="4" s="1"/>
  <c r="AB87" i="4" s="1"/>
  <c r="AB88" i="4" s="1"/>
  <c r="AB89" i="4" s="1"/>
  <c r="AB90" i="4" s="1"/>
  <c r="AB91" i="4" s="1"/>
  <c r="AB92" i="4" s="1"/>
  <c r="AB93" i="4" s="1"/>
  <c r="AB94" i="4" s="1"/>
  <c r="AB95" i="4" s="1"/>
  <c r="AB96" i="4" s="1"/>
  <c r="AB97" i="4" s="1"/>
  <c r="AB98" i="4" s="1"/>
  <c r="AB99" i="4" s="1"/>
  <c r="AB100" i="4" s="1"/>
  <c r="AB101" i="4" s="1"/>
  <c r="AB102" i="4" s="1"/>
  <c r="AB103" i="4" s="1"/>
  <c r="AB104" i="4" s="1"/>
  <c r="AB105" i="4" s="1"/>
  <c r="AB106" i="4" s="1"/>
  <c r="AB107" i="4" s="1"/>
  <c r="AB108" i="4" s="1"/>
  <c r="AB109" i="4" s="1"/>
  <c r="AB110" i="4" s="1"/>
  <c r="AB111" i="4" s="1"/>
  <c r="AB112" i="4" s="1"/>
  <c r="AB113" i="4" s="1"/>
  <c r="AB114" i="4" s="1"/>
  <c r="AB115" i="4" s="1"/>
  <c r="AB116" i="4" s="1"/>
  <c r="AB117" i="4" s="1"/>
  <c r="AB118" i="4" s="1"/>
  <c r="AB119" i="4" s="1"/>
  <c r="AB120" i="4" s="1"/>
  <c r="AB121" i="4" s="1"/>
  <c r="AB122" i="4" s="1"/>
  <c r="AB123" i="4" s="1"/>
  <c r="AB124" i="4" s="1"/>
  <c r="AB125" i="4" s="1"/>
  <c r="AB126" i="4" s="1"/>
  <c r="AB127" i="4" s="1"/>
  <c r="AB128" i="4" s="1"/>
  <c r="AB129" i="4" s="1"/>
  <c r="AB130" i="4" s="1"/>
  <c r="AN6" i="4"/>
  <c r="AN7" i="4" s="1"/>
  <c r="AN8" i="4" s="1"/>
  <c r="AN9" i="4" s="1"/>
  <c r="AN10" i="4" s="1"/>
  <c r="AN11" i="4" s="1"/>
  <c r="AN12" i="4" s="1"/>
  <c r="AN13" i="4" s="1"/>
  <c r="AN14" i="4" s="1"/>
  <c r="AN15" i="4" s="1"/>
  <c r="AN16" i="4" s="1"/>
  <c r="AN17" i="4" s="1"/>
  <c r="AN18" i="4" s="1"/>
  <c r="AN19" i="4" s="1"/>
  <c r="AN20" i="4" s="1"/>
  <c r="AN21" i="4" s="1"/>
  <c r="AN22" i="4" s="1"/>
  <c r="AN23" i="4" s="1"/>
  <c r="AN24" i="4" s="1"/>
  <c r="AN25" i="4" s="1"/>
  <c r="AN26" i="4" s="1"/>
  <c r="AN27" i="4" s="1"/>
  <c r="AN28" i="4" s="1"/>
  <c r="AN29" i="4" s="1"/>
  <c r="AN30" i="4" s="1"/>
  <c r="AN31" i="4" s="1"/>
  <c r="AN32" i="4" s="1"/>
  <c r="AN33" i="4" s="1"/>
  <c r="AN34" i="4" s="1"/>
  <c r="AN35" i="4" s="1"/>
  <c r="AN36" i="4" s="1"/>
  <c r="AN37" i="4" s="1"/>
  <c r="AN38" i="4" s="1"/>
  <c r="AN39" i="4" s="1"/>
  <c r="AN40" i="4" s="1"/>
  <c r="AN41" i="4" s="1"/>
  <c r="AN42" i="4" s="1"/>
  <c r="AN43" i="4" s="1"/>
  <c r="AN44" i="4" s="1"/>
  <c r="AN45" i="4" s="1"/>
  <c r="AN46" i="4" s="1"/>
  <c r="AN47" i="4" s="1"/>
  <c r="AN48" i="4" s="1"/>
  <c r="AN49" i="4" s="1"/>
  <c r="AN50" i="4" s="1"/>
  <c r="AN51" i="4" s="1"/>
  <c r="AN52" i="4" s="1"/>
  <c r="AN53" i="4" s="1"/>
  <c r="AN54" i="4" s="1"/>
  <c r="AN55" i="4" s="1"/>
  <c r="AN56" i="4" s="1"/>
  <c r="AN57" i="4" s="1"/>
  <c r="AN58" i="4" s="1"/>
  <c r="AN59" i="4" s="1"/>
  <c r="AN60" i="4" s="1"/>
  <c r="AN61" i="4" s="1"/>
  <c r="AN62" i="4" s="1"/>
  <c r="AN63" i="4" s="1"/>
  <c r="AN64" i="4" s="1"/>
  <c r="AN65" i="4" s="1"/>
  <c r="AN66" i="4" s="1"/>
  <c r="AN67" i="4" s="1"/>
  <c r="AN68" i="4" s="1"/>
  <c r="AN69" i="4" s="1"/>
  <c r="AN70" i="4" s="1"/>
  <c r="AN71" i="4" s="1"/>
  <c r="AN72" i="4" s="1"/>
  <c r="AN73" i="4" s="1"/>
  <c r="AN74" i="4" s="1"/>
  <c r="AN75" i="4" s="1"/>
  <c r="AN76" i="4" s="1"/>
  <c r="AN77" i="4" s="1"/>
  <c r="AN78" i="4" s="1"/>
  <c r="AN79" i="4" s="1"/>
  <c r="AN80" i="4" s="1"/>
  <c r="AN81" i="4" s="1"/>
  <c r="AN82" i="4" s="1"/>
  <c r="AN83" i="4" s="1"/>
  <c r="AN84" i="4" s="1"/>
  <c r="AN85" i="4" s="1"/>
  <c r="AN86" i="4" s="1"/>
  <c r="AN87" i="4" s="1"/>
  <c r="AN88" i="4" s="1"/>
  <c r="AN89" i="4" s="1"/>
  <c r="AN90" i="4" s="1"/>
  <c r="AN91" i="4" s="1"/>
  <c r="AN92" i="4" s="1"/>
  <c r="AN93" i="4" s="1"/>
  <c r="AN94" i="4" s="1"/>
  <c r="AN95" i="4" s="1"/>
  <c r="AN96" i="4" s="1"/>
  <c r="AN97" i="4" s="1"/>
  <c r="AN98" i="4" s="1"/>
  <c r="AN99" i="4" s="1"/>
  <c r="AN100" i="4" s="1"/>
  <c r="AN101" i="4" s="1"/>
  <c r="AN102" i="4" s="1"/>
  <c r="AN103" i="4" s="1"/>
  <c r="AN104" i="4" s="1"/>
  <c r="AN105" i="4" s="1"/>
  <c r="AN106" i="4" s="1"/>
  <c r="AN107" i="4" s="1"/>
  <c r="AN108" i="4" s="1"/>
  <c r="AN109" i="4" s="1"/>
  <c r="AN110" i="4" s="1"/>
  <c r="AN111" i="4" s="1"/>
  <c r="AN112" i="4" s="1"/>
  <c r="AN113" i="4" s="1"/>
  <c r="AN114" i="4" s="1"/>
  <c r="AN115" i="4" s="1"/>
  <c r="AN116" i="4" s="1"/>
  <c r="AN117" i="4" s="1"/>
  <c r="AN118" i="4" s="1"/>
  <c r="AN119" i="4" s="1"/>
  <c r="AN120" i="4" s="1"/>
  <c r="AN121" i="4" s="1"/>
  <c r="AN122" i="4" s="1"/>
  <c r="AN123" i="4" s="1"/>
  <c r="AN124" i="4" s="1"/>
  <c r="AN125" i="4" s="1"/>
  <c r="AN126" i="4" s="1"/>
  <c r="AN127" i="4" s="1"/>
  <c r="AN128" i="4" s="1"/>
  <c r="AN129" i="4" s="1"/>
  <c r="AN130" i="4" s="1"/>
  <c r="AZ6" i="4"/>
  <c r="AZ7" i="4" s="1"/>
  <c r="AZ8" i="4" s="1"/>
  <c r="AZ9" i="4" s="1"/>
  <c r="AZ10" i="4" s="1"/>
  <c r="AZ11" i="4" s="1"/>
  <c r="AZ12" i="4" s="1"/>
  <c r="AZ13" i="4" s="1"/>
  <c r="AZ14" i="4" s="1"/>
  <c r="AZ15" i="4" s="1"/>
  <c r="AZ16" i="4" s="1"/>
  <c r="AZ17" i="4" s="1"/>
  <c r="AZ18" i="4" s="1"/>
  <c r="AZ19" i="4" s="1"/>
  <c r="AZ20" i="4" s="1"/>
  <c r="AZ21" i="4" s="1"/>
  <c r="AZ22" i="4" s="1"/>
  <c r="AZ23" i="4" s="1"/>
  <c r="AZ24" i="4" s="1"/>
  <c r="AZ25" i="4" s="1"/>
  <c r="AZ26" i="4" s="1"/>
  <c r="AZ27" i="4" s="1"/>
  <c r="AZ28" i="4" s="1"/>
  <c r="AZ29" i="4" s="1"/>
  <c r="AZ30" i="4" s="1"/>
  <c r="AZ31" i="4" s="1"/>
  <c r="AZ32" i="4" s="1"/>
  <c r="AZ33" i="4" s="1"/>
  <c r="AZ34" i="4" s="1"/>
  <c r="AZ35" i="4" s="1"/>
  <c r="AZ36" i="4" s="1"/>
  <c r="AZ37" i="4" s="1"/>
  <c r="AZ38" i="4" s="1"/>
  <c r="AZ39" i="4" s="1"/>
  <c r="AZ40" i="4" s="1"/>
  <c r="AZ41" i="4" s="1"/>
  <c r="AZ42" i="4" s="1"/>
  <c r="AZ43" i="4" s="1"/>
  <c r="AZ44" i="4" s="1"/>
  <c r="AZ45" i="4" s="1"/>
  <c r="AZ46" i="4" s="1"/>
  <c r="AZ47" i="4" s="1"/>
  <c r="AZ48" i="4" s="1"/>
  <c r="AZ49" i="4" s="1"/>
  <c r="AZ50" i="4" s="1"/>
  <c r="AZ51" i="4" s="1"/>
  <c r="AZ52" i="4" s="1"/>
  <c r="AZ53" i="4" s="1"/>
  <c r="AZ54" i="4" s="1"/>
  <c r="AZ55" i="4" s="1"/>
  <c r="AZ56" i="4" s="1"/>
  <c r="AZ57" i="4" s="1"/>
  <c r="AZ58" i="4" s="1"/>
  <c r="AZ59" i="4" s="1"/>
  <c r="AZ60" i="4" s="1"/>
  <c r="AZ61" i="4" s="1"/>
  <c r="AZ62" i="4" s="1"/>
  <c r="AZ63" i="4" s="1"/>
  <c r="AZ64" i="4" s="1"/>
  <c r="AZ65" i="4" s="1"/>
  <c r="AZ66" i="4" s="1"/>
  <c r="AZ67" i="4" s="1"/>
  <c r="AZ68" i="4" s="1"/>
  <c r="AZ69" i="4" s="1"/>
  <c r="AZ70" i="4" s="1"/>
  <c r="AZ71" i="4" s="1"/>
  <c r="AZ72" i="4" s="1"/>
  <c r="AZ73" i="4" s="1"/>
  <c r="AZ74" i="4" s="1"/>
  <c r="AZ75" i="4" s="1"/>
  <c r="AZ76" i="4" s="1"/>
  <c r="AZ77" i="4" s="1"/>
  <c r="AZ78" i="4" s="1"/>
  <c r="AZ79" i="4" s="1"/>
  <c r="AZ80" i="4" s="1"/>
  <c r="AZ81" i="4" s="1"/>
  <c r="AZ82" i="4" s="1"/>
  <c r="AZ83" i="4" s="1"/>
  <c r="AZ84" i="4" s="1"/>
  <c r="AZ85" i="4" s="1"/>
  <c r="AZ86" i="4" s="1"/>
  <c r="AZ87" i="4" s="1"/>
  <c r="AZ88" i="4" s="1"/>
  <c r="AZ89" i="4" s="1"/>
  <c r="AZ90" i="4" s="1"/>
  <c r="AZ91" i="4" s="1"/>
  <c r="AZ92" i="4" s="1"/>
  <c r="AZ93" i="4" s="1"/>
  <c r="AZ94" i="4" s="1"/>
  <c r="AZ95" i="4" s="1"/>
  <c r="AZ96" i="4" s="1"/>
  <c r="AZ97" i="4" s="1"/>
  <c r="AZ98" i="4" s="1"/>
  <c r="AZ99" i="4" s="1"/>
  <c r="AZ100" i="4" s="1"/>
  <c r="AZ101" i="4" s="1"/>
  <c r="AZ102" i="4" s="1"/>
  <c r="AZ103" i="4" s="1"/>
  <c r="AZ104" i="4" s="1"/>
  <c r="AZ105" i="4" s="1"/>
  <c r="AZ106" i="4" s="1"/>
  <c r="AZ107" i="4" s="1"/>
  <c r="AZ108" i="4" s="1"/>
  <c r="AZ109" i="4" s="1"/>
  <c r="AZ110" i="4" s="1"/>
  <c r="AZ111" i="4" s="1"/>
  <c r="AZ112" i="4" s="1"/>
  <c r="AZ113" i="4" s="1"/>
  <c r="AZ114" i="4" s="1"/>
  <c r="AZ115" i="4" s="1"/>
  <c r="AZ116" i="4" s="1"/>
  <c r="AZ117" i="4" s="1"/>
  <c r="AZ118" i="4" s="1"/>
  <c r="AZ119" i="4" s="1"/>
  <c r="AZ120" i="4" s="1"/>
  <c r="AZ121" i="4" s="1"/>
  <c r="AZ122" i="4" s="1"/>
  <c r="AZ123" i="4" s="1"/>
  <c r="AZ124" i="4" s="1"/>
  <c r="AZ125" i="4" s="1"/>
  <c r="AZ126" i="4" s="1"/>
  <c r="AZ127" i="4" s="1"/>
  <c r="AZ128" i="4" s="1"/>
  <c r="AZ129" i="4" s="1"/>
  <c r="AZ130" i="4" s="1"/>
  <c r="Q6" i="4"/>
  <c r="Q7" i="4" s="1"/>
  <c r="Q8" i="4" s="1"/>
  <c r="Q9" i="4" s="1"/>
  <c r="Q10" i="4" s="1"/>
  <c r="Q11" i="4" s="1"/>
  <c r="Q12" i="4" s="1"/>
  <c r="Q13" i="4" s="1"/>
  <c r="Q14" i="4" s="1"/>
  <c r="Q15" i="4" s="1"/>
  <c r="Q16" i="4" s="1"/>
  <c r="Q17" i="4" s="1"/>
  <c r="Q18" i="4" s="1"/>
  <c r="Q19" i="4" s="1"/>
  <c r="Q20" i="4" s="1"/>
  <c r="Q21" i="4" s="1"/>
  <c r="Q22" i="4" s="1"/>
  <c r="Q23" i="4" s="1"/>
  <c r="Q24" i="4" s="1"/>
  <c r="Q25" i="4" s="1"/>
  <c r="Q26" i="4" s="1"/>
  <c r="Q27" i="4" s="1"/>
  <c r="Q28" i="4" s="1"/>
  <c r="Q29" i="4" s="1"/>
  <c r="Q30" i="4" s="1"/>
  <c r="Q31" i="4" s="1"/>
  <c r="Q32" i="4" s="1"/>
  <c r="Q33" i="4" s="1"/>
  <c r="Q34" i="4" s="1"/>
  <c r="Q35" i="4" s="1"/>
  <c r="Q36" i="4" s="1"/>
  <c r="Q37" i="4" s="1"/>
  <c r="Q38" i="4" s="1"/>
  <c r="Q39" i="4" s="1"/>
  <c r="Q40" i="4" s="1"/>
  <c r="Q41" i="4" s="1"/>
  <c r="Q42" i="4" s="1"/>
  <c r="Q43" i="4" s="1"/>
  <c r="Q44" i="4" s="1"/>
  <c r="Q45" i="4" s="1"/>
  <c r="Q46" i="4" s="1"/>
  <c r="Q47" i="4" s="1"/>
  <c r="Q48" i="4" s="1"/>
  <c r="Q49" i="4" s="1"/>
  <c r="Q50" i="4" s="1"/>
  <c r="Q51" i="4" s="1"/>
  <c r="Q52" i="4" s="1"/>
  <c r="Q53" i="4" s="1"/>
  <c r="Q54" i="4" s="1"/>
  <c r="Q55" i="4" s="1"/>
  <c r="Q56" i="4" s="1"/>
  <c r="Q57" i="4" s="1"/>
  <c r="Q58" i="4" s="1"/>
  <c r="Q59" i="4" s="1"/>
  <c r="Q60" i="4" s="1"/>
  <c r="Q61" i="4" s="1"/>
  <c r="Q62" i="4" s="1"/>
  <c r="Q63" i="4" s="1"/>
  <c r="Q64" i="4" s="1"/>
  <c r="Q65" i="4" s="1"/>
  <c r="Q66" i="4" s="1"/>
  <c r="Q67" i="4" s="1"/>
  <c r="Q68" i="4" s="1"/>
  <c r="Q69" i="4" s="1"/>
  <c r="Q70" i="4" s="1"/>
  <c r="Q71" i="4" s="1"/>
  <c r="Q72" i="4" s="1"/>
  <c r="Q73" i="4" s="1"/>
  <c r="Q74" i="4" s="1"/>
  <c r="Q75" i="4" s="1"/>
  <c r="Q76" i="4" s="1"/>
  <c r="Q77" i="4" s="1"/>
  <c r="Q78" i="4" s="1"/>
  <c r="Q79" i="4" s="1"/>
  <c r="Q80" i="4" s="1"/>
  <c r="Q81" i="4" s="1"/>
  <c r="Q82" i="4" s="1"/>
  <c r="Q83" i="4" s="1"/>
  <c r="Q84" i="4" s="1"/>
  <c r="Q85" i="4" s="1"/>
  <c r="Q86" i="4" s="1"/>
  <c r="Q87" i="4" s="1"/>
  <c r="Q88" i="4" s="1"/>
  <c r="Q89" i="4" s="1"/>
  <c r="Q90" i="4" s="1"/>
  <c r="Q91" i="4" s="1"/>
  <c r="Q92" i="4" s="1"/>
  <c r="Q93" i="4" s="1"/>
  <c r="Q94" i="4" s="1"/>
  <c r="Q95" i="4" s="1"/>
  <c r="Q96" i="4" s="1"/>
  <c r="Q97" i="4" s="1"/>
  <c r="Q98" i="4" s="1"/>
  <c r="Q99" i="4" s="1"/>
  <c r="Q100" i="4" s="1"/>
  <c r="Q101" i="4" s="1"/>
  <c r="Q102" i="4" s="1"/>
  <c r="Q103" i="4" s="1"/>
  <c r="Q104" i="4" s="1"/>
  <c r="Q105" i="4" s="1"/>
  <c r="Q106" i="4" s="1"/>
  <c r="Q107" i="4" s="1"/>
  <c r="Q108" i="4" s="1"/>
  <c r="Q109" i="4" s="1"/>
  <c r="Q110" i="4" s="1"/>
  <c r="Q111" i="4" s="1"/>
  <c r="Q112" i="4" s="1"/>
  <c r="Q113" i="4" s="1"/>
  <c r="Q114" i="4" s="1"/>
  <c r="Q115" i="4" s="1"/>
  <c r="Q116" i="4" s="1"/>
  <c r="Q117" i="4" s="1"/>
  <c r="Q118" i="4" s="1"/>
  <c r="Q119" i="4" s="1"/>
  <c r="Q120" i="4" s="1"/>
  <c r="Q121" i="4" s="1"/>
  <c r="Q122" i="4" s="1"/>
  <c r="Q123" i="4" s="1"/>
  <c r="Q124" i="4" s="1"/>
  <c r="Q125" i="4" s="1"/>
  <c r="Q126" i="4" s="1"/>
  <c r="Q127" i="4" s="1"/>
  <c r="Q128" i="4" s="1"/>
  <c r="Q129" i="4" s="1"/>
  <c r="Q130" i="4" s="1"/>
  <c r="AC6" i="4"/>
  <c r="AC7" i="4" s="1"/>
  <c r="AC8" i="4" s="1"/>
  <c r="AC9" i="4" s="1"/>
  <c r="AC10" i="4" s="1"/>
  <c r="AC11" i="4" s="1"/>
  <c r="AC12" i="4" s="1"/>
  <c r="AC13" i="4" s="1"/>
  <c r="AC14" i="4" s="1"/>
  <c r="AC15" i="4" s="1"/>
  <c r="AC16" i="4" s="1"/>
  <c r="AC17" i="4" s="1"/>
  <c r="AC18" i="4" s="1"/>
  <c r="AC19" i="4" s="1"/>
  <c r="AC20" i="4" s="1"/>
  <c r="AC21" i="4" s="1"/>
  <c r="AC22" i="4" s="1"/>
  <c r="AC23" i="4" s="1"/>
  <c r="AC24" i="4" s="1"/>
  <c r="AC25" i="4" s="1"/>
  <c r="AC26" i="4" s="1"/>
  <c r="AC27" i="4" s="1"/>
  <c r="AC28" i="4" s="1"/>
  <c r="AC29" i="4" s="1"/>
  <c r="AC30" i="4" s="1"/>
  <c r="AC31" i="4" s="1"/>
  <c r="AC32" i="4" s="1"/>
  <c r="AC33" i="4" s="1"/>
  <c r="AC34" i="4" s="1"/>
  <c r="AC35" i="4" s="1"/>
  <c r="AC36" i="4" s="1"/>
  <c r="AC37" i="4" s="1"/>
  <c r="AC38" i="4" s="1"/>
  <c r="AC39" i="4" s="1"/>
  <c r="AC40" i="4" s="1"/>
  <c r="AC41" i="4" s="1"/>
  <c r="AC42" i="4" s="1"/>
  <c r="AC43" i="4" s="1"/>
  <c r="AC44" i="4" s="1"/>
  <c r="AC45" i="4" s="1"/>
  <c r="AC46" i="4" s="1"/>
  <c r="AC47" i="4" s="1"/>
  <c r="AC48" i="4" s="1"/>
  <c r="AC49" i="4" s="1"/>
  <c r="AC50" i="4" s="1"/>
  <c r="AC51" i="4" s="1"/>
  <c r="AC52" i="4" s="1"/>
  <c r="AC53" i="4" s="1"/>
  <c r="AC54" i="4" s="1"/>
  <c r="AC55" i="4" s="1"/>
  <c r="AC56" i="4" s="1"/>
  <c r="AC57" i="4" s="1"/>
  <c r="AC58" i="4" s="1"/>
  <c r="AC59" i="4" s="1"/>
  <c r="AC60" i="4" s="1"/>
  <c r="AC61" i="4" s="1"/>
  <c r="AC62" i="4" s="1"/>
  <c r="AC63" i="4" s="1"/>
  <c r="AC64" i="4" s="1"/>
  <c r="AC65" i="4" s="1"/>
  <c r="AC66" i="4" s="1"/>
  <c r="AC67" i="4" s="1"/>
  <c r="AC68" i="4" s="1"/>
  <c r="AC69" i="4" s="1"/>
  <c r="AC70" i="4" s="1"/>
  <c r="AC71" i="4" s="1"/>
  <c r="AC72" i="4" s="1"/>
  <c r="AC73" i="4" s="1"/>
  <c r="AC74" i="4" s="1"/>
  <c r="AC75" i="4" s="1"/>
  <c r="AC76" i="4" s="1"/>
  <c r="AC77" i="4" s="1"/>
  <c r="AC78" i="4" s="1"/>
  <c r="AC79" i="4" s="1"/>
  <c r="AC80" i="4" s="1"/>
  <c r="AC81" i="4" s="1"/>
  <c r="AC82" i="4" s="1"/>
  <c r="AC83" i="4" s="1"/>
  <c r="AC84" i="4" s="1"/>
  <c r="AC85" i="4" s="1"/>
  <c r="AC86" i="4" s="1"/>
  <c r="AC87" i="4" s="1"/>
  <c r="AC88" i="4" s="1"/>
  <c r="AC89" i="4" s="1"/>
  <c r="AC90" i="4" s="1"/>
  <c r="AC91" i="4" s="1"/>
  <c r="AC92" i="4" s="1"/>
  <c r="AC93" i="4" s="1"/>
  <c r="AC94" i="4" s="1"/>
  <c r="AC95" i="4" s="1"/>
  <c r="AC96" i="4" s="1"/>
  <c r="AC97" i="4" s="1"/>
  <c r="AC98" i="4" s="1"/>
  <c r="AC99" i="4" s="1"/>
  <c r="AC100" i="4" s="1"/>
  <c r="AC101" i="4" s="1"/>
  <c r="AC102" i="4" s="1"/>
  <c r="AC103" i="4" s="1"/>
  <c r="AC104" i="4" s="1"/>
  <c r="AC105" i="4" s="1"/>
  <c r="AC106" i="4" s="1"/>
  <c r="AC107" i="4" s="1"/>
  <c r="AC108" i="4" s="1"/>
  <c r="AC109" i="4" s="1"/>
  <c r="AC110" i="4" s="1"/>
  <c r="AC111" i="4" s="1"/>
  <c r="AC112" i="4" s="1"/>
  <c r="AC113" i="4" s="1"/>
  <c r="AC114" i="4" s="1"/>
  <c r="AC115" i="4" s="1"/>
  <c r="AC116" i="4" s="1"/>
  <c r="AC117" i="4" s="1"/>
  <c r="AC118" i="4" s="1"/>
  <c r="AC119" i="4" s="1"/>
  <c r="AC120" i="4" s="1"/>
  <c r="AC121" i="4" s="1"/>
  <c r="AC122" i="4" s="1"/>
  <c r="AC123" i="4" s="1"/>
  <c r="AC124" i="4" s="1"/>
  <c r="AC125" i="4" s="1"/>
  <c r="AC126" i="4" s="1"/>
  <c r="AC127" i="4" s="1"/>
  <c r="AC128" i="4" s="1"/>
  <c r="AC129" i="4" s="1"/>
  <c r="AC130" i="4" s="1"/>
  <c r="AO6" i="4"/>
  <c r="AO7" i="4" s="1"/>
  <c r="AO8" i="4" s="1"/>
  <c r="AO9" i="4" s="1"/>
  <c r="AO10" i="4" s="1"/>
  <c r="AO11" i="4" s="1"/>
  <c r="AO12" i="4" s="1"/>
  <c r="AO13" i="4" s="1"/>
  <c r="AO14" i="4" s="1"/>
  <c r="AO15" i="4" s="1"/>
  <c r="AO16" i="4" s="1"/>
  <c r="AO17" i="4" s="1"/>
  <c r="AO18" i="4" s="1"/>
  <c r="AO19" i="4" s="1"/>
  <c r="AO20" i="4" s="1"/>
  <c r="AO21" i="4" s="1"/>
  <c r="AO22" i="4" s="1"/>
  <c r="AO23" i="4" s="1"/>
  <c r="AO24" i="4" s="1"/>
  <c r="AO25" i="4" s="1"/>
  <c r="AO26" i="4" s="1"/>
  <c r="AO27" i="4" s="1"/>
  <c r="AO28" i="4" s="1"/>
  <c r="AO29" i="4" s="1"/>
  <c r="AO30" i="4" s="1"/>
  <c r="AO31" i="4" s="1"/>
  <c r="AO32" i="4" s="1"/>
  <c r="AO33" i="4" s="1"/>
  <c r="AO34" i="4" s="1"/>
  <c r="AO35" i="4" s="1"/>
  <c r="AO36" i="4" s="1"/>
  <c r="AO37" i="4" s="1"/>
  <c r="AO38" i="4" s="1"/>
  <c r="AO39" i="4" s="1"/>
  <c r="AO40" i="4" s="1"/>
  <c r="AO41" i="4" s="1"/>
  <c r="AO42" i="4" s="1"/>
  <c r="AO43" i="4" s="1"/>
  <c r="AO44" i="4" s="1"/>
  <c r="AO45" i="4" s="1"/>
  <c r="AO46" i="4" s="1"/>
  <c r="AO47" i="4" s="1"/>
  <c r="AO48" i="4" s="1"/>
  <c r="AO49" i="4" s="1"/>
  <c r="AO50" i="4" s="1"/>
  <c r="AO51" i="4" s="1"/>
  <c r="AO52" i="4" s="1"/>
  <c r="AO53" i="4" s="1"/>
  <c r="AO54" i="4" s="1"/>
  <c r="AO55" i="4" s="1"/>
  <c r="AO56" i="4" s="1"/>
  <c r="AO57" i="4" s="1"/>
  <c r="AO58" i="4" s="1"/>
  <c r="AO59" i="4" s="1"/>
  <c r="AO60" i="4" s="1"/>
  <c r="AO61" i="4" s="1"/>
  <c r="AO62" i="4" s="1"/>
  <c r="AO63" i="4" s="1"/>
  <c r="AO64" i="4" s="1"/>
  <c r="AO65" i="4" s="1"/>
  <c r="AO66" i="4" s="1"/>
  <c r="AO67" i="4" s="1"/>
  <c r="AO68" i="4" s="1"/>
  <c r="AO69" i="4" s="1"/>
  <c r="AO70" i="4" s="1"/>
  <c r="AO71" i="4" s="1"/>
  <c r="AO72" i="4" s="1"/>
  <c r="AO73" i="4" s="1"/>
  <c r="AO74" i="4" s="1"/>
  <c r="AO75" i="4" s="1"/>
  <c r="AO76" i="4" s="1"/>
  <c r="AO77" i="4" s="1"/>
  <c r="AO78" i="4" s="1"/>
  <c r="AO79" i="4" s="1"/>
  <c r="AO80" i="4" s="1"/>
  <c r="AO81" i="4" s="1"/>
  <c r="AO82" i="4" s="1"/>
  <c r="AO83" i="4" s="1"/>
  <c r="AO84" i="4" s="1"/>
  <c r="AO85" i="4" s="1"/>
  <c r="AO86" i="4" s="1"/>
  <c r="AO87" i="4" s="1"/>
  <c r="AO88" i="4" s="1"/>
  <c r="AO89" i="4" s="1"/>
  <c r="AO90" i="4" s="1"/>
  <c r="AO91" i="4" s="1"/>
  <c r="AO92" i="4" s="1"/>
  <c r="AO93" i="4" s="1"/>
  <c r="AO94" i="4" s="1"/>
  <c r="AO95" i="4" s="1"/>
  <c r="AO96" i="4" s="1"/>
  <c r="AO97" i="4" s="1"/>
  <c r="AO98" i="4" s="1"/>
  <c r="AO99" i="4" s="1"/>
  <c r="AO100" i="4" s="1"/>
  <c r="AO101" i="4" s="1"/>
  <c r="AO102" i="4" s="1"/>
  <c r="AO103" i="4" s="1"/>
  <c r="AO104" i="4" s="1"/>
  <c r="AO105" i="4" s="1"/>
  <c r="AO106" i="4" s="1"/>
  <c r="AO107" i="4" s="1"/>
  <c r="AO108" i="4" s="1"/>
  <c r="AO109" i="4" s="1"/>
  <c r="AO110" i="4" s="1"/>
  <c r="AO111" i="4" s="1"/>
  <c r="AO112" i="4" s="1"/>
  <c r="AO113" i="4" s="1"/>
  <c r="AO114" i="4" s="1"/>
  <c r="AO115" i="4" s="1"/>
  <c r="AO116" i="4" s="1"/>
  <c r="AO117" i="4" s="1"/>
  <c r="AO118" i="4" s="1"/>
  <c r="AO119" i="4" s="1"/>
  <c r="AO120" i="4" s="1"/>
  <c r="AO121" i="4" s="1"/>
  <c r="AO122" i="4" s="1"/>
  <c r="AO123" i="4" s="1"/>
  <c r="AO124" i="4" s="1"/>
  <c r="AO125" i="4" s="1"/>
  <c r="AO126" i="4" s="1"/>
  <c r="AO127" i="4" s="1"/>
  <c r="AO128" i="4" s="1"/>
  <c r="AO129" i="4" s="1"/>
  <c r="AO130" i="4" s="1"/>
  <c r="M6" i="4"/>
  <c r="R6" i="4"/>
  <c r="R7" i="4" s="1"/>
  <c r="R8" i="4" s="1"/>
  <c r="R9" i="4" s="1"/>
  <c r="R10" i="4" s="1"/>
  <c r="R11" i="4" s="1"/>
  <c r="R12" i="4" s="1"/>
  <c r="R13" i="4" s="1"/>
  <c r="R14" i="4" s="1"/>
  <c r="R15" i="4" s="1"/>
  <c r="R16" i="4" s="1"/>
  <c r="R17" i="4" s="1"/>
  <c r="R18" i="4" s="1"/>
  <c r="R19" i="4" s="1"/>
  <c r="R20" i="4" s="1"/>
  <c r="R21" i="4" s="1"/>
  <c r="R22" i="4" s="1"/>
  <c r="R23" i="4" s="1"/>
  <c r="R24" i="4" s="1"/>
  <c r="R25" i="4" s="1"/>
  <c r="R26" i="4" s="1"/>
  <c r="R27" i="4" s="1"/>
  <c r="R28" i="4" s="1"/>
  <c r="R29" i="4" s="1"/>
  <c r="R30" i="4" s="1"/>
  <c r="R31" i="4" s="1"/>
  <c r="R32" i="4" s="1"/>
  <c r="R33" i="4" s="1"/>
  <c r="R34" i="4" s="1"/>
  <c r="R35" i="4" s="1"/>
  <c r="R36" i="4" s="1"/>
  <c r="R37" i="4" s="1"/>
  <c r="R38" i="4" s="1"/>
  <c r="R39" i="4" s="1"/>
  <c r="R40" i="4" s="1"/>
  <c r="R41" i="4" s="1"/>
  <c r="R42" i="4" s="1"/>
  <c r="R43" i="4" s="1"/>
  <c r="R44" i="4" s="1"/>
  <c r="R45" i="4" s="1"/>
  <c r="R46" i="4" s="1"/>
  <c r="R47" i="4" s="1"/>
  <c r="R48" i="4" s="1"/>
  <c r="R49" i="4" s="1"/>
  <c r="R50" i="4" s="1"/>
  <c r="R51" i="4" s="1"/>
  <c r="R52" i="4" s="1"/>
  <c r="R53" i="4" s="1"/>
  <c r="R54" i="4" s="1"/>
  <c r="R55" i="4" s="1"/>
  <c r="R56" i="4" s="1"/>
  <c r="R57" i="4" s="1"/>
  <c r="R58" i="4" s="1"/>
  <c r="R59" i="4" s="1"/>
  <c r="R60" i="4" s="1"/>
  <c r="R61" i="4" s="1"/>
  <c r="R62" i="4" s="1"/>
  <c r="R63" i="4" s="1"/>
  <c r="R64" i="4" s="1"/>
  <c r="R65" i="4" s="1"/>
  <c r="R66" i="4" s="1"/>
  <c r="R67" i="4" s="1"/>
  <c r="R68" i="4" s="1"/>
  <c r="R69" i="4" s="1"/>
  <c r="R70" i="4" s="1"/>
  <c r="R71" i="4" s="1"/>
  <c r="R72" i="4" s="1"/>
  <c r="R73" i="4" s="1"/>
  <c r="R74" i="4" s="1"/>
  <c r="R75" i="4" s="1"/>
  <c r="R76" i="4" s="1"/>
  <c r="R77" i="4" s="1"/>
  <c r="R78" i="4" s="1"/>
  <c r="R79" i="4" s="1"/>
  <c r="R80" i="4" s="1"/>
  <c r="R81" i="4" s="1"/>
  <c r="R82" i="4" s="1"/>
  <c r="R83" i="4" s="1"/>
  <c r="R84" i="4" s="1"/>
  <c r="R85" i="4" s="1"/>
  <c r="R86" i="4" s="1"/>
  <c r="R87" i="4" s="1"/>
  <c r="R88" i="4" s="1"/>
  <c r="R89" i="4" s="1"/>
  <c r="R90" i="4" s="1"/>
  <c r="R91" i="4" s="1"/>
  <c r="R92" i="4" s="1"/>
  <c r="R93" i="4" s="1"/>
  <c r="R94" i="4" s="1"/>
  <c r="R95" i="4" s="1"/>
  <c r="R96" i="4" s="1"/>
  <c r="R97" i="4" s="1"/>
  <c r="R98" i="4" s="1"/>
  <c r="R99" i="4" s="1"/>
  <c r="R100" i="4" s="1"/>
  <c r="R101" i="4" s="1"/>
  <c r="R102" i="4" s="1"/>
  <c r="R103" i="4" s="1"/>
  <c r="R104" i="4" s="1"/>
  <c r="R105" i="4" s="1"/>
  <c r="R106" i="4" s="1"/>
  <c r="R107" i="4" s="1"/>
  <c r="R108" i="4" s="1"/>
  <c r="R109" i="4" s="1"/>
  <c r="R110" i="4" s="1"/>
  <c r="R111" i="4" s="1"/>
  <c r="R112" i="4" s="1"/>
  <c r="R113" i="4" s="1"/>
  <c r="R114" i="4" s="1"/>
  <c r="R115" i="4" s="1"/>
  <c r="R116" i="4" s="1"/>
  <c r="R117" i="4" s="1"/>
  <c r="R118" i="4" s="1"/>
  <c r="R119" i="4" s="1"/>
  <c r="R120" i="4" s="1"/>
  <c r="R121" i="4" s="1"/>
  <c r="R122" i="4" s="1"/>
  <c r="R123" i="4" s="1"/>
  <c r="R124" i="4" s="1"/>
  <c r="R125" i="4" s="1"/>
  <c r="R126" i="4" s="1"/>
  <c r="R127" i="4" s="1"/>
  <c r="R128" i="4" s="1"/>
  <c r="R129" i="4" s="1"/>
  <c r="R130" i="4" s="1"/>
  <c r="AD6" i="4"/>
  <c r="AD7" i="4" s="1"/>
  <c r="AD8" i="4" s="1"/>
  <c r="AD9" i="4" s="1"/>
  <c r="AD10" i="4" s="1"/>
  <c r="AD11" i="4" s="1"/>
  <c r="AD12" i="4" s="1"/>
  <c r="AD13" i="4" s="1"/>
  <c r="AD14" i="4" s="1"/>
  <c r="AD15" i="4" s="1"/>
  <c r="AD16" i="4" s="1"/>
  <c r="AD17" i="4" s="1"/>
  <c r="AD18" i="4" s="1"/>
  <c r="AD19" i="4" s="1"/>
  <c r="AD20" i="4" s="1"/>
  <c r="AD21" i="4" s="1"/>
  <c r="AD22" i="4" s="1"/>
  <c r="AD23" i="4" s="1"/>
  <c r="AD24" i="4" s="1"/>
  <c r="AD25" i="4" s="1"/>
  <c r="AD26" i="4" s="1"/>
  <c r="AD27" i="4" s="1"/>
  <c r="AD28" i="4" s="1"/>
  <c r="AD29" i="4" s="1"/>
  <c r="AD30" i="4" s="1"/>
  <c r="AD31" i="4" s="1"/>
  <c r="AD32" i="4" s="1"/>
  <c r="AD33" i="4" s="1"/>
  <c r="AD34" i="4" s="1"/>
  <c r="AD35" i="4" s="1"/>
  <c r="AD36" i="4" s="1"/>
  <c r="AD37" i="4" s="1"/>
  <c r="AD38" i="4" s="1"/>
  <c r="AD39" i="4" s="1"/>
  <c r="AD40" i="4" s="1"/>
  <c r="AD41" i="4" s="1"/>
  <c r="AD42" i="4" s="1"/>
  <c r="AD43" i="4" s="1"/>
  <c r="AD44" i="4" s="1"/>
  <c r="AD45" i="4" s="1"/>
  <c r="AD46" i="4" s="1"/>
  <c r="AD47" i="4" s="1"/>
  <c r="AD48" i="4" s="1"/>
  <c r="AD49" i="4" s="1"/>
  <c r="AD50" i="4" s="1"/>
  <c r="AD51" i="4" s="1"/>
  <c r="AD52" i="4" s="1"/>
  <c r="AD53" i="4" s="1"/>
  <c r="AD54" i="4" s="1"/>
  <c r="AD55" i="4" s="1"/>
  <c r="AD56" i="4" s="1"/>
  <c r="AD57" i="4" s="1"/>
  <c r="AD58" i="4" s="1"/>
  <c r="AD59" i="4" s="1"/>
  <c r="AD60" i="4" s="1"/>
  <c r="AD61" i="4" s="1"/>
  <c r="AD62" i="4" s="1"/>
  <c r="AD63" i="4" s="1"/>
  <c r="AD64" i="4" s="1"/>
  <c r="AD65" i="4" s="1"/>
  <c r="AD66" i="4" s="1"/>
  <c r="AD67" i="4" s="1"/>
  <c r="AD68" i="4" s="1"/>
  <c r="AD69" i="4" s="1"/>
  <c r="AD70" i="4" s="1"/>
  <c r="AD71" i="4" s="1"/>
  <c r="AD72" i="4" s="1"/>
  <c r="AD73" i="4" s="1"/>
  <c r="AD74" i="4" s="1"/>
  <c r="AD75" i="4" s="1"/>
  <c r="AD76" i="4" s="1"/>
  <c r="AD77" i="4" s="1"/>
  <c r="AD78" i="4" s="1"/>
  <c r="AD79" i="4" s="1"/>
  <c r="AD80" i="4" s="1"/>
  <c r="AD81" i="4" s="1"/>
  <c r="AD82" i="4" s="1"/>
  <c r="AD83" i="4" s="1"/>
  <c r="AD84" i="4" s="1"/>
  <c r="AD85" i="4" s="1"/>
  <c r="AD86" i="4" s="1"/>
  <c r="AD87" i="4" s="1"/>
  <c r="AD88" i="4" s="1"/>
  <c r="AD89" i="4" s="1"/>
  <c r="AD90" i="4" s="1"/>
  <c r="AD91" i="4" s="1"/>
  <c r="AD92" i="4" s="1"/>
  <c r="AD93" i="4" s="1"/>
  <c r="AD94" i="4" s="1"/>
  <c r="AD95" i="4" s="1"/>
  <c r="AD96" i="4" s="1"/>
  <c r="AD97" i="4" s="1"/>
  <c r="AD98" i="4" s="1"/>
  <c r="AD99" i="4" s="1"/>
  <c r="AD100" i="4" s="1"/>
  <c r="AD101" i="4" s="1"/>
  <c r="AD102" i="4" s="1"/>
  <c r="AD103" i="4" s="1"/>
  <c r="AD104" i="4" s="1"/>
  <c r="AD105" i="4" s="1"/>
  <c r="AD106" i="4" s="1"/>
  <c r="AD107" i="4" s="1"/>
  <c r="AD108" i="4" s="1"/>
  <c r="AD109" i="4" s="1"/>
  <c r="AD110" i="4" s="1"/>
  <c r="AD111" i="4" s="1"/>
  <c r="AD112" i="4" s="1"/>
  <c r="AD113" i="4" s="1"/>
  <c r="AD114" i="4" s="1"/>
  <c r="AD115" i="4" s="1"/>
  <c r="AD116" i="4" s="1"/>
  <c r="AD117" i="4" s="1"/>
  <c r="AD118" i="4" s="1"/>
  <c r="AD119" i="4" s="1"/>
  <c r="AD120" i="4" s="1"/>
  <c r="AD121" i="4" s="1"/>
  <c r="AD122" i="4" s="1"/>
  <c r="AD123" i="4" s="1"/>
  <c r="AD124" i="4" s="1"/>
  <c r="AD125" i="4" s="1"/>
  <c r="AD126" i="4" s="1"/>
  <c r="AD127" i="4" s="1"/>
  <c r="AD128" i="4" s="1"/>
  <c r="AD129" i="4" s="1"/>
  <c r="AD130" i="4" s="1"/>
  <c r="AP6" i="4"/>
  <c r="AP7" i="4" s="1"/>
  <c r="AP8" i="4" s="1"/>
  <c r="AP9" i="4" s="1"/>
  <c r="AP10" i="4" s="1"/>
  <c r="AP11" i="4" s="1"/>
  <c r="AP12" i="4" s="1"/>
  <c r="AP13" i="4" s="1"/>
  <c r="AP14" i="4" s="1"/>
  <c r="AP15" i="4" s="1"/>
  <c r="AP16" i="4" s="1"/>
  <c r="AP17" i="4" s="1"/>
  <c r="AP18" i="4" s="1"/>
  <c r="AP19" i="4" s="1"/>
  <c r="AP20" i="4" s="1"/>
  <c r="AP21" i="4" s="1"/>
  <c r="AP22" i="4" s="1"/>
  <c r="AP23" i="4" s="1"/>
  <c r="AP24" i="4" s="1"/>
  <c r="AP25" i="4" s="1"/>
  <c r="AP26" i="4" s="1"/>
  <c r="AP27" i="4" s="1"/>
  <c r="AP28" i="4" s="1"/>
  <c r="AP29" i="4" s="1"/>
  <c r="AP30" i="4" s="1"/>
  <c r="AP31" i="4" s="1"/>
  <c r="AP32" i="4" s="1"/>
  <c r="AP33" i="4" s="1"/>
  <c r="AP34" i="4" s="1"/>
  <c r="AP35" i="4" s="1"/>
  <c r="AP36" i="4" s="1"/>
  <c r="AP37" i="4" s="1"/>
  <c r="AP38" i="4" s="1"/>
  <c r="AP39" i="4" s="1"/>
  <c r="AP40" i="4" s="1"/>
  <c r="AP41" i="4" s="1"/>
  <c r="AP42" i="4" s="1"/>
  <c r="AP43" i="4" s="1"/>
  <c r="AP44" i="4" s="1"/>
  <c r="AP45" i="4" s="1"/>
  <c r="AP46" i="4" s="1"/>
  <c r="AP47" i="4" s="1"/>
  <c r="AP48" i="4" s="1"/>
  <c r="AP49" i="4" s="1"/>
  <c r="AP50" i="4" s="1"/>
  <c r="AP51" i="4" s="1"/>
  <c r="AP52" i="4" s="1"/>
  <c r="AP53" i="4" s="1"/>
  <c r="AP54" i="4" s="1"/>
  <c r="AP55" i="4" s="1"/>
  <c r="AP56" i="4" s="1"/>
  <c r="AP57" i="4" s="1"/>
  <c r="AP58" i="4" s="1"/>
  <c r="AP59" i="4" s="1"/>
  <c r="AP60" i="4" s="1"/>
  <c r="AP61" i="4" s="1"/>
  <c r="AP62" i="4" s="1"/>
  <c r="AP63" i="4" s="1"/>
  <c r="AP64" i="4" s="1"/>
  <c r="AP65" i="4" s="1"/>
  <c r="AP66" i="4" s="1"/>
  <c r="AP67" i="4" s="1"/>
  <c r="AP68" i="4" s="1"/>
  <c r="AP69" i="4" s="1"/>
  <c r="AP70" i="4" s="1"/>
  <c r="AP71" i="4" s="1"/>
  <c r="AP72" i="4" s="1"/>
  <c r="AP73" i="4" s="1"/>
  <c r="AP74" i="4" s="1"/>
  <c r="AP75" i="4" s="1"/>
  <c r="AP76" i="4" s="1"/>
  <c r="AP77" i="4" s="1"/>
  <c r="AP78" i="4" s="1"/>
  <c r="AP79" i="4" s="1"/>
  <c r="AP80" i="4" s="1"/>
  <c r="AP81" i="4" s="1"/>
  <c r="AP82" i="4" s="1"/>
  <c r="AP83" i="4" s="1"/>
  <c r="AP84" i="4" s="1"/>
  <c r="AP85" i="4" s="1"/>
  <c r="AP86" i="4" s="1"/>
  <c r="AP87" i="4" s="1"/>
  <c r="AP88" i="4" s="1"/>
  <c r="AP89" i="4" s="1"/>
  <c r="AP90" i="4" s="1"/>
  <c r="AP91" i="4" s="1"/>
  <c r="AP92" i="4" s="1"/>
  <c r="AP93" i="4" s="1"/>
  <c r="AP94" i="4" s="1"/>
  <c r="AP95" i="4" s="1"/>
  <c r="AP96" i="4" s="1"/>
  <c r="AP97" i="4" s="1"/>
  <c r="AP98" i="4" s="1"/>
  <c r="AP99" i="4" s="1"/>
  <c r="AP100" i="4" s="1"/>
  <c r="AP101" i="4" s="1"/>
  <c r="AP102" i="4" s="1"/>
  <c r="AP103" i="4" s="1"/>
  <c r="AP104" i="4" s="1"/>
  <c r="AP105" i="4" s="1"/>
  <c r="AP106" i="4" s="1"/>
  <c r="AP107" i="4" s="1"/>
  <c r="AP108" i="4" s="1"/>
  <c r="AP109" i="4" s="1"/>
  <c r="AP110" i="4" s="1"/>
  <c r="AP111" i="4" s="1"/>
  <c r="AP112" i="4" s="1"/>
  <c r="AP113" i="4" s="1"/>
  <c r="AP114" i="4" s="1"/>
  <c r="AP115" i="4" s="1"/>
  <c r="AP116" i="4" s="1"/>
  <c r="AP117" i="4" s="1"/>
  <c r="AP118" i="4" s="1"/>
  <c r="AP119" i="4" s="1"/>
  <c r="AP120" i="4" s="1"/>
  <c r="AP121" i="4" s="1"/>
  <c r="AP122" i="4" s="1"/>
  <c r="AP123" i="4" s="1"/>
  <c r="AP124" i="4" s="1"/>
  <c r="AP125" i="4" s="1"/>
  <c r="AP126" i="4" s="1"/>
  <c r="AP127" i="4" s="1"/>
  <c r="AP128" i="4" s="1"/>
  <c r="AP129" i="4" s="1"/>
  <c r="AP130" i="4" s="1"/>
  <c r="J10" i="4"/>
  <c r="U6" i="4"/>
  <c r="U7" i="4" s="1"/>
  <c r="U8" i="4" s="1"/>
  <c r="U9" i="4" s="1"/>
  <c r="U10" i="4" s="1"/>
  <c r="U11" i="4" s="1"/>
  <c r="U12" i="4" s="1"/>
  <c r="U13" i="4" s="1"/>
  <c r="U14" i="4" s="1"/>
  <c r="U15" i="4" s="1"/>
  <c r="U16" i="4" s="1"/>
  <c r="U17" i="4" s="1"/>
  <c r="U18" i="4" s="1"/>
  <c r="U19" i="4" s="1"/>
  <c r="U20" i="4" s="1"/>
  <c r="U21" i="4" s="1"/>
  <c r="U22" i="4" s="1"/>
  <c r="U23" i="4" s="1"/>
  <c r="U24" i="4" s="1"/>
  <c r="U25" i="4" s="1"/>
  <c r="U26" i="4" s="1"/>
  <c r="U27" i="4" s="1"/>
  <c r="U28" i="4" s="1"/>
  <c r="U29" i="4" s="1"/>
  <c r="U30" i="4" s="1"/>
  <c r="U31" i="4" s="1"/>
  <c r="U32" i="4" s="1"/>
  <c r="U33" i="4" s="1"/>
  <c r="U34" i="4" s="1"/>
  <c r="U35" i="4" s="1"/>
  <c r="U36" i="4" s="1"/>
  <c r="U37" i="4" s="1"/>
  <c r="U38" i="4" s="1"/>
  <c r="U39" i="4" s="1"/>
  <c r="U40" i="4" s="1"/>
  <c r="U41" i="4" s="1"/>
  <c r="U42" i="4" s="1"/>
  <c r="U43" i="4" s="1"/>
  <c r="U44" i="4" s="1"/>
  <c r="U45" i="4" s="1"/>
  <c r="U46" i="4" s="1"/>
  <c r="U47" i="4" s="1"/>
  <c r="U48" i="4" s="1"/>
  <c r="U49" i="4" s="1"/>
  <c r="U50" i="4" s="1"/>
  <c r="U51" i="4" s="1"/>
  <c r="U52" i="4" s="1"/>
  <c r="U53" i="4" s="1"/>
  <c r="U54" i="4" s="1"/>
  <c r="U55" i="4" s="1"/>
  <c r="U56" i="4" s="1"/>
  <c r="U57" i="4" s="1"/>
  <c r="U58" i="4" s="1"/>
  <c r="U59" i="4" s="1"/>
  <c r="U60" i="4" s="1"/>
  <c r="U61" i="4" s="1"/>
  <c r="U62" i="4" s="1"/>
  <c r="U63" i="4" s="1"/>
  <c r="U64" i="4" s="1"/>
  <c r="U65" i="4" s="1"/>
  <c r="U66" i="4" s="1"/>
  <c r="U67" i="4" s="1"/>
  <c r="U68" i="4" s="1"/>
  <c r="U69" i="4" s="1"/>
  <c r="U70" i="4" s="1"/>
  <c r="U71" i="4" s="1"/>
  <c r="U72" i="4" s="1"/>
  <c r="U73" i="4" s="1"/>
  <c r="U74" i="4" s="1"/>
  <c r="U75" i="4" s="1"/>
  <c r="U76" i="4" s="1"/>
  <c r="U77" i="4" s="1"/>
  <c r="U78" i="4" s="1"/>
  <c r="U79" i="4" s="1"/>
  <c r="U80" i="4" s="1"/>
  <c r="U81" i="4" s="1"/>
  <c r="U82" i="4" s="1"/>
  <c r="U83" i="4" s="1"/>
  <c r="U84" i="4" s="1"/>
  <c r="U85" i="4" s="1"/>
  <c r="U86" i="4" s="1"/>
  <c r="U87" i="4" s="1"/>
  <c r="U88" i="4" s="1"/>
  <c r="U89" i="4" s="1"/>
  <c r="U90" i="4" s="1"/>
  <c r="U91" i="4" s="1"/>
  <c r="U92" i="4" s="1"/>
  <c r="U93" i="4" s="1"/>
  <c r="U94" i="4" s="1"/>
  <c r="U95" i="4" s="1"/>
  <c r="U96" i="4" s="1"/>
  <c r="U97" i="4" s="1"/>
  <c r="U98" i="4" s="1"/>
  <c r="U99" i="4" s="1"/>
  <c r="U100" i="4" s="1"/>
  <c r="U101" i="4" s="1"/>
  <c r="U102" i="4" s="1"/>
  <c r="U103" i="4" s="1"/>
  <c r="U104" i="4" s="1"/>
  <c r="U105" i="4" s="1"/>
  <c r="U106" i="4" s="1"/>
  <c r="U107" i="4" s="1"/>
  <c r="U108" i="4" s="1"/>
  <c r="U109" i="4" s="1"/>
  <c r="U110" i="4" s="1"/>
  <c r="U111" i="4" s="1"/>
  <c r="U112" i="4" s="1"/>
  <c r="U113" i="4" s="1"/>
  <c r="U114" i="4" s="1"/>
  <c r="U115" i="4" s="1"/>
  <c r="U116" i="4" s="1"/>
  <c r="U117" i="4" s="1"/>
  <c r="U118" i="4" s="1"/>
  <c r="U119" i="4" s="1"/>
  <c r="U120" i="4" s="1"/>
  <c r="U121" i="4" s="1"/>
  <c r="U122" i="4" s="1"/>
  <c r="U123" i="4" s="1"/>
  <c r="U124" i="4" s="1"/>
  <c r="U125" i="4" s="1"/>
  <c r="U126" i="4" s="1"/>
  <c r="U127" i="4" s="1"/>
  <c r="U128" i="4" s="1"/>
  <c r="U129" i="4" s="1"/>
  <c r="U130" i="4" s="1"/>
  <c r="AG6" i="4"/>
  <c r="AG7" i="4" s="1"/>
  <c r="AG8" i="4" s="1"/>
  <c r="AG9" i="4" s="1"/>
  <c r="AG10" i="4" s="1"/>
  <c r="AG11" i="4" s="1"/>
  <c r="AG12" i="4" s="1"/>
  <c r="AG13" i="4" s="1"/>
  <c r="AG14" i="4" s="1"/>
  <c r="AG15" i="4" s="1"/>
  <c r="AG16" i="4" s="1"/>
  <c r="AG17" i="4" s="1"/>
  <c r="AG18" i="4" s="1"/>
  <c r="AG19" i="4" s="1"/>
  <c r="AG20" i="4" s="1"/>
  <c r="AG21" i="4" s="1"/>
  <c r="AG22" i="4" s="1"/>
  <c r="AG23" i="4" s="1"/>
  <c r="AG24" i="4" s="1"/>
  <c r="AG25" i="4" s="1"/>
  <c r="AG26" i="4" s="1"/>
  <c r="AG27" i="4" s="1"/>
  <c r="AG28" i="4" s="1"/>
  <c r="AG29" i="4" s="1"/>
  <c r="AG30" i="4" s="1"/>
  <c r="AG31" i="4" s="1"/>
  <c r="AG32" i="4" s="1"/>
  <c r="AG33" i="4" s="1"/>
  <c r="AG34" i="4" s="1"/>
  <c r="AG35" i="4" s="1"/>
  <c r="AG36" i="4" s="1"/>
  <c r="AG37" i="4" s="1"/>
  <c r="AG38" i="4" s="1"/>
  <c r="AG39" i="4" s="1"/>
  <c r="AG40" i="4" s="1"/>
  <c r="AG41" i="4" s="1"/>
  <c r="AG42" i="4" s="1"/>
  <c r="AG43" i="4" s="1"/>
  <c r="AG44" i="4" s="1"/>
  <c r="AG45" i="4" s="1"/>
  <c r="AG46" i="4" s="1"/>
  <c r="AG47" i="4" s="1"/>
  <c r="AG48" i="4" s="1"/>
  <c r="AG49" i="4" s="1"/>
  <c r="AG50" i="4" s="1"/>
  <c r="AG51" i="4" s="1"/>
  <c r="AG52" i="4" s="1"/>
  <c r="AG53" i="4" s="1"/>
  <c r="AG54" i="4" s="1"/>
  <c r="AG55" i="4" s="1"/>
  <c r="AG56" i="4" s="1"/>
  <c r="AG57" i="4" s="1"/>
  <c r="AG58" i="4" s="1"/>
  <c r="AG59" i="4" s="1"/>
  <c r="AG60" i="4" s="1"/>
  <c r="AG61" i="4" s="1"/>
  <c r="AG62" i="4" s="1"/>
  <c r="AG63" i="4" s="1"/>
  <c r="AG64" i="4" s="1"/>
  <c r="AG65" i="4" s="1"/>
  <c r="AG66" i="4" s="1"/>
  <c r="AG67" i="4" s="1"/>
  <c r="AG68" i="4" s="1"/>
  <c r="AG69" i="4" s="1"/>
  <c r="AG70" i="4" s="1"/>
  <c r="AG71" i="4" s="1"/>
  <c r="AG72" i="4" s="1"/>
  <c r="AG73" i="4" s="1"/>
  <c r="AG74" i="4" s="1"/>
  <c r="AG75" i="4" s="1"/>
  <c r="AG76" i="4" s="1"/>
  <c r="AG77" i="4" s="1"/>
  <c r="AG78" i="4" s="1"/>
  <c r="AG79" i="4" s="1"/>
  <c r="AG80" i="4" s="1"/>
  <c r="AG81" i="4" s="1"/>
  <c r="AG82" i="4" s="1"/>
  <c r="AG83" i="4" s="1"/>
  <c r="AG84" i="4" s="1"/>
  <c r="AG85" i="4" s="1"/>
  <c r="AG86" i="4" s="1"/>
  <c r="AG87" i="4" s="1"/>
  <c r="AG88" i="4" s="1"/>
  <c r="AG89" i="4" s="1"/>
  <c r="AG90" i="4" s="1"/>
  <c r="AG91" i="4" s="1"/>
  <c r="AG92" i="4" s="1"/>
  <c r="AG93" i="4" s="1"/>
  <c r="AG94" i="4" s="1"/>
  <c r="AG95" i="4" s="1"/>
  <c r="AG96" i="4" s="1"/>
  <c r="AG97" i="4" s="1"/>
  <c r="AG98" i="4" s="1"/>
  <c r="AG99" i="4" s="1"/>
  <c r="AG100" i="4" s="1"/>
  <c r="AG101" i="4" s="1"/>
  <c r="AG102" i="4" s="1"/>
  <c r="AG103" i="4" s="1"/>
  <c r="AG104" i="4" s="1"/>
  <c r="AG105" i="4" s="1"/>
  <c r="AG106" i="4" s="1"/>
  <c r="AG107" i="4" s="1"/>
  <c r="AG108" i="4" s="1"/>
  <c r="AG109" i="4" s="1"/>
  <c r="AG110" i="4" s="1"/>
  <c r="AG111" i="4" s="1"/>
  <c r="AG112" i="4" s="1"/>
  <c r="AG113" i="4" s="1"/>
  <c r="AG114" i="4" s="1"/>
  <c r="AG115" i="4" s="1"/>
  <c r="AG116" i="4" s="1"/>
  <c r="AG117" i="4" s="1"/>
  <c r="AG118" i="4" s="1"/>
  <c r="AG119" i="4" s="1"/>
  <c r="AG120" i="4" s="1"/>
  <c r="AG121" i="4" s="1"/>
  <c r="AG122" i="4" s="1"/>
  <c r="AG123" i="4" s="1"/>
  <c r="AG124" i="4" s="1"/>
  <c r="AG125" i="4" s="1"/>
  <c r="AG126" i="4" s="1"/>
  <c r="AG127" i="4" s="1"/>
  <c r="AG128" i="4" s="1"/>
  <c r="AG129" i="4" s="1"/>
  <c r="AG130" i="4" s="1"/>
  <c r="AS6" i="4"/>
  <c r="AS7" i="4" s="1"/>
  <c r="AS8" i="4" s="1"/>
  <c r="AS9" i="4" s="1"/>
  <c r="AS10" i="4" s="1"/>
  <c r="AS11" i="4" s="1"/>
  <c r="AS12" i="4" s="1"/>
  <c r="AS13" i="4" s="1"/>
  <c r="AS14" i="4" s="1"/>
  <c r="AS15" i="4" s="1"/>
  <c r="AS16" i="4" s="1"/>
  <c r="AS17" i="4" s="1"/>
  <c r="AS18" i="4" s="1"/>
  <c r="AS19" i="4" s="1"/>
  <c r="AS20" i="4" s="1"/>
  <c r="AS21" i="4" s="1"/>
  <c r="AS22" i="4" s="1"/>
  <c r="AS23" i="4" s="1"/>
  <c r="AS24" i="4" s="1"/>
  <c r="AS25" i="4" s="1"/>
  <c r="AS26" i="4" s="1"/>
  <c r="AS27" i="4" s="1"/>
  <c r="AS28" i="4" s="1"/>
  <c r="AS29" i="4" s="1"/>
  <c r="AS30" i="4" s="1"/>
  <c r="AS31" i="4" s="1"/>
  <c r="AS32" i="4" s="1"/>
  <c r="AS33" i="4" s="1"/>
  <c r="AS34" i="4" s="1"/>
  <c r="AS35" i="4" s="1"/>
  <c r="AS36" i="4" s="1"/>
  <c r="AS37" i="4" s="1"/>
  <c r="AS38" i="4" s="1"/>
  <c r="AS39" i="4" s="1"/>
  <c r="AS40" i="4" s="1"/>
  <c r="AS41" i="4" s="1"/>
  <c r="AS42" i="4" s="1"/>
  <c r="AS43" i="4" s="1"/>
  <c r="AS44" i="4" s="1"/>
  <c r="AS45" i="4" s="1"/>
  <c r="AS46" i="4" s="1"/>
  <c r="AS47" i="4" s="1"/>
  <c r="AS48" i="4" s="1"/>
  <c r="AS49" i="4" s="1"/>
  <c r="AS50" i="4" s="1"/>
  <c r="AS51" i="4" s="1"/>
  <c r="AS52" i="4" s="1"/>
  <c r="AS53" i="4" s="1"/>
  <c r="AS54" i="4" s="1"/>
  <c r="AS55" i="4" s="1"/>
  <c r="AS56" i="4" s="1"/>
  <c r="AS57" i="4" s="1"/>
  <c r="AS58" i="4" s="1"/>
  <c r="AS59" i="4" s="1"/>
  <c r="AS60" i="4" s="1"/>
  <c r="AS61" i="4" s="1"/>
  <c r="AS62" i="4" s="1"/>
  <c r="AS63" i="4" s="1"/>
  <c r="AS64" i="4" s="1"/>
  <c r="AS65" i="4" s="1"/>
  <c r="AS66" i="4" s="1"/>
  <c r="AS67" i="4" s="1"/>
  <c r="AS68" i="4" s="1"/>
  <c r="AS69" i="4" s="1"/>
  <c r="AS70" i="4" s="1"/>
  <c r="AS71" i="4" s="1"/>
  <c r="AS72" i="4" s="1"/>
  <c r="AS73" i="4" s="1"/>
  <c r="AS74" i="4" s="1"/>
  <c r="AS75" i="4" s="1"/>
  <c r="AS76" i="4" s="1"/>
  <c r="AS77" i="4" s="1"/>
  <c r="AS78" i="4" s="1"/>
  <c r="AS79" i="4" s="1"/>
  <c r="AS80" i="4" s="1"/>
  <c r="AS81" i="4" s="1"/>
  <c r="AS82" i="4" s="1"/>
  <c r="AS83" i="4" s="1"/>
  <c r="AS84" i="4" s="1"/>
  <c r="AS85" i="4" s="1"/>
  <c r="AS86" i="4" s="1"/>
  <c r="AS87" i="4" s="1"/>
  <c r="AS88" i="4" s="1"/>
  <c r="AS89" i="4" s="1"/>
  <c r="AS90" i="4" s="1"/>
  <c r="AS91" i="4" s="1"/>
  <c r="AS92" i="4" s="1"/>
  <c r="AS93" i="4" s="1"/>
  <c r="AS94" i="4" s="1"/>
  <c r="AS95" i="4" s="1"/>
  <c r="AS96" i="4" s="1"/>
  <c r="AS97" i="4" s="1"/>
  <c r="AS98" i="4" s="1"/>
  <c r="AS99" i="4" s="1"/>
  <c r="AS100" i="4" s="1"/>
  <c r="AS101" i="4" s="1"/>
  <c r="AS102" i="4" s="1"/>
  <c r="AS103" i="4" s="1"/>
  <c r="AS104" i="4" s="1"/>
  <c r="AS105" i="4" s="1"/>
  <c r="AS106" i="4" s="1"/>
  <c r="AS107" i="4" s="1"/>
  <c r="AS108" i="4" s="1"/>
  <c r="AS109" i="4" s="1"/>
  <c r="AS110" i="4" s="1"/>
  <c r="AS111" i="4" s="1"/>
  <c r="AS112" i="4" s="1"/>
  <c r="AS113" i="4" s="1"/>
  <c r="AS114" i="4" s="1"/>
  <c r="AS115" i="4" s="1"/>
  <c r="AS116" i="4" s="1"/>
  <c r="AS117" i="4" s="1"/>
  <c r="AS118" i="4" s="1"/>
  <c r="AS119" i="4" s="1"/>
  <c r="AS120" i="4" s="1"/>
  <c r="AS121" i="4" s="1"/>
  <c r="AS122" i="4" s="1"/>
  <c r="AS123" i="4" s="1"/>
  <c r="AS124" i="4" s="1"/>
  <c r="AS125" i="4" s="1"/>
  <c r="AS126" i="4" s="1"/>
  <c r="AS127" i="4" s="1"/>
  <c r="AS128" i="4" s="1"/>
  <c r="AS129" i="4" s="1"/>
  <c r="AS130" i="4" s="1"/>
  <c r="V6" i="4"/>
  <c r="V7" i="4" s="1"/>
  <c r="V8" i="4" s="1"/>
  <c r="V9" i="4" s="1"/>
  <c r="V10" i="4" s="1"/>
  <c r="V11" i="4" s="1"/>
  <c r="V12" i="4" s="1"/>
  <c r="V13" i="4" s="1"/>
  <c r="V14" i="4" s="1"/>
  <c r="V15" i="4" s="1"/>
  <c r="V16" i="4" s="1"/>
  <c r="V17" i="4" s="1"/>
  <c r="V18" i="4" s="1"/>
  <c r="V19" i="4" s="1"/>
  <c r="V20" i="4" s="1"/>
  <c r="V21" i="4" s="1"/>
  <c r="V22" i="4" s="1"/>
  <c r="V23" i="4" s="1"/>
  <c r="V24" i="4" s="1"/>
  <c r="V25" i="4" s="1"/>
  <c r="V26" i="4" s="1"/>
  <c r="V27" i="4" s="1"/>
  <c r="V28" i="4" s="1"/>
  <c r="V29" i="4" s="1"/>
  <c r="V30" i="4" s="1"/>
  <c r="V31" i="4" s="1"/>
  <c r="V32" i="4" s="1"/>
  <c r="V33" i="4" s="1"/>
  <c r="V34" i="4" s="1"/>
  <c r="V35" i="4" s="1"/>
  <c r="V36" i="4" s="1"/>
  <c r="V37" i="4" s="1"/>
  <c r="V38" i="4" s="1"/>
  <c r="V39" i="4" s="1"/>
  <c r="V40" i="4" s="1"/>
  <c r="V41" i="4" s="1"/>
  <c r="V42" i="4" s="1"/>
  <c r="V43" i="4" s="1"/>
  <c r="V44" i="4" s="1"/>
  <c r="V45" i="4" s="1"/>
  <c r="V46" i="4" s="1"/>
  <c r="V47" i="4" s="1"/>
  <c r="V48" i="4" s="1"/>
  <c r="V49" i="4" s="1"/>
  <c r="V50" i="4" s="1"/>
  <c r="V51" i="4" s="1"/>
  <c r="V52" i="4" s="1"/>
  <c r="V53" i="4" s="1"/>
  <c r="V54" i="4" s="1"/>
  <c r="V55" i="4" s="1"/>
  <c r="V56" i="4" s="1"/>
  <c r="V57" i="4" s="1"/>
  <c r="V58" i="4" s="1"/>
  <c r="V59" i="4" s="1"/>
  <c r="V60" i="4" s="1"/>
  <c r="V61" i="4" s="1"/>
  <c r="V62" i="4" s="1"/>
  <c r="V63" i="4" s="1"/>
  <c r="V64" i="4" s="1"/>
  <c r="V65" i="4" s="1"/>
  <c r="V66" i="4" s="1"/>
  <c r="V67" i="4" s="1"/>
  <c r="V68" i="4" s="1"/>
  <c r="V69" i="4" s="1"/>
  <c r="V70" i="4" s="1"/>
  <c r="V71" i="4" s="1"/>
  <c r="V72" i="4" s="1"/>
  <c r="V73" i="4" s="1"/>
  <c r="V74" i="4" s="1"/>
  <c r="V75" i="4" s="1"/>
  <c r="V76" i="4" s="1"/>
  <c r="V77" i="4" s="1"/>
  <c r="V78" i="4" s="1"/>
  <c r="V79" i="4" s="1"/>
  <c r="V80" i="4" s="1"/>
  <c r="V81" i="4" s="1"/>
  <c r="V82" i="4" s="1"/>
  <c r="V83" i="4" s="1"/>
  <c r="V84" i="4" s="1"/>
  <c r="V85" i="4" s="1"/>
  <c r="V86" i="4" s="1"/>
  <c r="V87" i="4" s="1"/>
  <c r="V88" i="4" s="1"/>
  <c r="V89" i="4" s="1"/>
  <c r="V90" i="4" s="1"/>
  <c r="V91" i="4" s="1"/>
  <c r="V92" i="4" s="1"/>
  <c r="V93" i="4" s="1"/>
  <c r="V94" i="4" s="1"/>
  <c r="V95" i="4" s="1"/>
  <c r="V96" i="4" s="1"/>
  <c r="V97" i="4" s="1"/>
  <c r="V98" i="4" s="1"/>
  <c r="V99" i="4" s="1"/>
  <c r="V100" i="4" s="1"/>
  <c r="V101" i="4" s="1"/>
  <c r="V102" i="4" s="1"/>
  <c r="V103" i="4" s="1"/>
  <c r="V104" i="4" s="1"/>
  <c r="V105" i="4" s="1"/>
  <c r="V106" i="4" s="1"/>
  <c r="V107" i="4" s="1"/>
  <c r="V108" i="4" s="1"/>
  <c r="V109" i="4" s="1"/>
  <c r="V110" i="4" s="1"/>
  <c r="V111" i="4" s="1"/>
  <c r="V112" i="4" s="1"/>
  <c r="V113" i="4" s="1"/>
  <c r="V114" i="4" s="1"/>
  <c r="V115" i="4" s="1"/>
  <c r="V116" i="4" s="1"/>
  <c r="V117" i="4" s="1"/>
  <c r="V118" i="4" s="1"/>
  <c r="V119" i="4" s="1"/>
  <c r="V120" i="4" s="1"/>
  <c r="V121" i="4" s="1"/>
  <c r="V122" i="4" s="1"/>
  <c r="V123" i="4" s="1"/>
  <c r="V124" i="4" s="1"/>
  <c r="V125" i="4" s="1"/>
  <c r="V126" i="4" s="1"/>
  <c r="V127" i="4" s="1"/>
  <c r="V128" i="4" s="1"/>
  <c r="V129" i="4" s="1"/>
  <c r="V130" i="4" s="1"/>
  <c r="AH6" i="4"/>
  <c r="AH7" i="4" s="1"/>
  <c r="AH8" i="4" s="1"/>
  <c r="AH9" i="4" s="1"/>
  <c r="AH10" i="4" s="1"/>
  <c r="AH11" i="4" s="1"/>
  <c r="AH12" i="4" s="1"/>
  <c r="AH13" i="4" s="1"/>
  <c r="AH14" i="4" s="1"/>
  <c r="AH15" i="4" s="1"/>
  <c r="AH16" i="4" s="1"/>
  <c r="AH17" i="4" s="1"/>
  <c r="AH18" i="4" s="1"/>
  <c r="AH19" i="4" s="1"/>
  <c r="AH20" i="4" s="1"/>
  <c r="AH21" i="4" s="1"/>
  <c r="AH22" i="4" s="1"/>
  <c r="AH23" i="4" s="1"/>
  <c r="AH24" i="4" s="1"/>
  <c r="AH25" i="4" s="1"/>
  <c r="AH26" i="4" s="1"/>
  <c r="AH27" i="4" s="1"/>
  <c r="AH28" i="4" s="1"/>
  <c r="AH29" i="4" s="1"/>
  <c r="AH30" i="4" s="1"/>
  <c r="AH31" i="4" s="1"/>
  <c r="AH32" i="4" s="1"/>
  <c r="AH33" i="4" s="1"/>
  <c r="AH34" i="4" s="1"/>
  <c r="AH35" i="4" s="1"/>
  <c r="AH36" i="4" s="1"/>
  <c r="AH37" i="4" s="1"/>
  <c r="AH38" i="4" s="1"/>
  <c r="AH39" i="4" s="1"/>
  <c r="AH40" i="4" s="1"/>
  <c r="AH41" i="4" s="1"/>
  <c r="AH42" i="4" s="1"/>
  <c r="AH43" i="4" s="1"/>
  <c r="AH44" i="4" s="1"/>
  <c r="AH45" i="4" s="1"/>
  <c r="AH46" i="4" s="1"/>
  <c r="AH47" i="4" s="1"/>
  <c r="AH48" i="4" s="1"/>
  <c r="AH49" i="4" s="1"/>
  <c r="AH50" i="4" s="1"/>
  <c r="AH51" i="4" s="1"/>
  <c r="AH52" i="4" s="1"/>
  <c r="AH53" i="4" s="1"/>
  <c r="AH54" i="4" s="1"/>
  <c r="AH55" i="4" s="1"/>
  <c r="AH56" i="4" s="1"/>
  <c r="AH57" i="4" s="1"/>
  <c r="AH58" i="4" s="1"/>
  <c r="AH59" i="4" s="1"/>
  <c r="AH60" i="4" s="1"/>
  <c r="AH61" i="4" s="1"/>
  <c r="AH62" i="4" s="1"/>
  <c r="AH63" i="4" s="1"/>
  <c r="AH64" i="4" s="1"/>
  <c r="AH65" i="4" s="1"/>
  <c r="AH66" i="4" s="1"/>
  <c r="AH67" i="4" s="1"/>
  <c r="AH68" i="4" s="1"/>
  <c r="AH69" i="4" s="1"/>
  <c r="AH70" i="4" s="1"/>
  <c r="AH71" i="4" s="1"/>
  <c r="AH72" i="4" s="1"/>
  <c r="AH73" i="4" s="1"/>
  <c r="AH74" i="4" s="1"/>
  <c r="AH75" i="4" s="1"/>
  <c r="AH76" i="4" s="1"/>
  <c r="AH77" i="4" s="1"/>
  <c r="AH78" i="4" s="1"/>
  <c r="AH79" i="4" s="1"/>
  <c r="AH80" i="4" s="1"/>
  <c r="AH81" i="4" s="1"/>
  <c r="AH82" i="4" s="1"/>
  <c r="AH83" i="4" s="1"/>
  <c r="AH84" i="4" s="1"/>
  <c r="AH85" i="4" s="1"/>
  <c r="AH86" i="4" s="1"/>
  <c r="AH87" i="4" s="1"/>
  <c r="AH88" i="4" s="1"/>
  <c r="AH89" i="4" s="1"/>
  <c r="AH90" i="4" s="1"/>
  <c r="AH91" i="4" s="1"/>
  <c r="AH92" i="4" s="1"/>
  <c r="AH93" i="4" s="1"/>
  <c r="AH94" i="4" s="1"/>
  <c r="AH95" i="4" s="1"/>
  <c r="AH96" i="4" s="1"/>
  <c r="AH97" i="4" s="1"/>
  <c r="AH98" i="4" s="1"/>
  <c r="AH99" i="4" s="1"/>
  <c r="AH100" i="4" s="1"/>
  <c r="AH101" i="4" s="1"/>
  <c r="AH102" i="4" s="1"/>
  <c r="AH103" i="4" s="1"/>
  <c r="AH104" i="4" s="1"/>
  <c r="AH105" i="4" s="1"/>
  <c r="AH106" i="4" s="1"/>
  <c r="AH107" i="4" s="1"/>
  <c r="AH108" i="4" s="1"/>
  <c r="AH109" i="4" s="1"/>
  <c r="AH110" i="4" s="1"/>
  <c r="AH111" i="4" s="1"/>
  <c r="AH112" i="4" s="1"/>
  <c r="AH113" i="4" s="1"/>
  <c r="AH114" i="4" s="1"/>
  <c r="AH115" i="4" s="1"/>
  <c r="AH116" i="4" s="1"/>
  <c r="AH117" i="4" s="1"/>
  <c r="AH118" i="4" s="1"/>
  <c r="AH119" i="4" s="1"/>
  <c r="AH120" i="4" s="1"/>
  <c r="AH121" i="4" s="1"/>
  <c r="AH122" i="4" s="1"/>
  <c r="AH123" i="4" s="1"/>
  <c r="AH124" i="4" s="1"/>
  <c r="AH125" i="4" s="1"/>
  <c r="AH126" i="4" s="1"/>
  <c r="AH127" i="4" s="1"/>
  <c r="AH128" i="4" s="1"/>
  <c r="AH129" i="4" s="1"/>
  <c r="AH130" i="4" s="1"/>
  <c r="AT6" i="4"/>
  <c r="AT7" i="4" s="1"/>
  <c r="AT8" i="4" s="1"/>
  <c r="AT9" i="4" s="1"/>
  <c r="AT10" i="4" s="1"/>
  <c r="AT11" i="4" s="1"/>
  <c r="AT12" i="4" s="1"/>
  <c r="AT13" i="4" s="1"/>
  <c r="AT14" i="4" s="1"/>
  <c r="AT15" i="4" s="1"/>
  <c r="AT16" i="4" s="1"/>
  <c r="AT17" i="4" s="1"/>
  <c r="AT18" i="4" s="1"/>
  <c r="AT19" i="4" s="1"/>
  <c r="AT20" i="4" s="1"/>
  <c r="AT21" i="4" s="1"/>
  <c r="AT22" i="4" s="1"/>
  <c r="AT23" i="4" s="1"/>
  <c r="AT24" i="4" s="1"/>
  <c r="AT25" i="4" s="1"/>
  <c r="AT26" i="4" s="1"/>
  <c r="AT27" i="4" s="1"/>
  <c r="AT28" i="4" s="1"/>
  <c r="AT29" i="4" s="1"/>
  <c r="AT30" i="4" s="1"/>
  <c r="AT31" i="4" s="1"/>
  <c r="AT32" i="4" s="1"/>
  <c r="AT33" i="4" s="1"/>
  <c r="AT34" i="4" s="1"/>
  <c r="AT35" i="4" s="1"/>
  <c r="AT36" i="4" s="1"/>
  <c r="AT37" i="4" s="1"/>
  <c r="AT38" i="4" s="1"/>
  <c r="AT39" i="4" s="1"/>
  <c r="AT40" i="4" s="1"/>
  <c r="AT41" i="4" s="1"/>
  <c r="AT42" i="4" s="1"/>
  <c r="AT43" i="4" s="1"/>
  <c r="AT44" i="4" s="1"/>
  <c r="AT45" i="4" s="1"/>
  <c r="AT46" i="4" s="1"/>
  <c r="AT47" i="4" s="1"/>
  <c r="AT48" i="4" s="1"/>
  <c r="AT49" i="4" s="1"/>
  <c r="AT50" i="4" s="1"/>
  <c r="AT51" i="4" s="1"/>
  <c r="AT52" i="4" s="1"/>
  <c r="AT53" i="4" s="1"/>
  <c r="AT54" i="4" s="1"/>
  <c r="AT55" i="4" s="1"/>
  <c r="AT56" i="4" s="1"/>
  <c r="AT57" i="4" s="1"/>
  <c r="AT58" i="4" s="1"/>
  <c r="AT59" i="4" s="1"/>
  <c r="AT60" i="4" s="1"/>
  <c r="AT61" i="4" s="1"/>
  <c r="AT62" i="4" s="1"/>
  <c r="AT63" i="4" s="1"/>
  <c r="AT64" i="4" s="1"/>
  <c r="AT65" i="4" s="1"/>
  <c r="AT66" i="4" s="1"/>
  <c r="AT67" i="4" s="1"/>
  <c r="AT68" i="4" s="1"/>
  <c r="AT69" i="4" s="1"/>
  <c r="AT70" i="4" s="1"/>
  <c r="AT71" i="4" s="1"/>
  <c r="AT72" i="4" s="1"/>
  <c r="AT73" i="4" s="1"/>
  <c r="AT74" i="4" s="1"/>
  <c r="AT75" i="4" s="1"/>
  <c r="AT76" i="4" s="1"/>
  <c r="AT77" i="4" s="1"/>
  <c r="AT78" i="4" s="1"/>
  <c r="AT79" i="4" s="1"/>
  <c r="AT80" i="4" s="1"/>
  <c r="AT81" i="4" s="1"/>
  <c r="AT82" i="4" s="1"/>
  <c r="AT83" i="4" s="1"/>
  <c r="AT84" i="4" s="1"/>
  <c r="AT85" i="4" s="1"/>
  <c r="AT86" i="4" s="1"/>
  <c r="AT87" i="4" s="1"/>
  <c r="AT88" i="4" s="1"/>
  <c r="AT89" i="4" s="1"/>
  <c r="AT90" i="4" s="1"/>
  <c r="AT91" i="4" s="1"/>
  <c r="AT92" i="4" s="1"/>
  <c r="AT93" i="4" s="1"/>
  <c r="AT94" i="4" s="1"/>
  <c r="AT95" i="4" s="1"/>
  <c r="AT96" i="4" s="1"/>
  <c r="AT97" i="4" s="1"/>
  <c r="AT98" i="4" s="1"/>
  <c r="AT99" i="4" s="1"/>
  <c r="AT100" i="4" s="1"/>
  <c r="AT101" i="4" s="1"/>
  <c r="AT102" i="4" s="1"/>
  <c r="AT103" i="4" s="1"/>
  <c r="AT104" i="4" s="1"/>
  <c r="AT105" i="4" s="1"/>
  <c r="AT106" i="4" s="1"/>
  <c r="AT107" i="4" s="1"/>
  <c r="AT108" i="4" s="1"/>
  <c r="AT109" i="4" s="1"/>
  <c r="AT110" i="4" s="1"/>
  <c r="AT111" i="4" s="1"/>
  <c r="AT112" i="4" s="1"/>
  <c r="AT113" i="4" s="1"/>
  <c r="AT114" i="4" s="1"/>
  <c r="AT115" i="4" s="1"/>
  <c r="AT116" i="4" s="1"/>
  <c r="AT117" i="4" s="1"/>
  <c r="AT118" i="4" s="1"/>
  <c r="AT119" i="4" s="1"/>
  <c r="AT120" i="4" s="1"/>
  <c r="AT121" i="4" s="1"/>
  <c r="AT122" i="4" s="1"/>
  <c r="AT123" i="4" s="1"/>
  <c r="AT124" i="4" s="1"/>
  <c r="AT125" i="4" s="1"/>
  <c r="AT126" i="4" s="1"/>
  <c r="AT127" i="4" s="1"/>
  <c r="AT128" i="4" s="1"/>
  <c r="AT129" i="4" s="1"/>
  <c r="AT130" i="4" s="1"/>
  <c r="W6" i="4"/>
  <c r="W7" i="4" s="1"/>
  <c r="W8" i="4" s="1"/>
  <c r="W9" i="4" s="1"/>
  <c r="W10" i="4" s="1"/>
  <c r="W11" i="4" s="1"/>
  <c r="W12" i="4" s="1"/>
  <c r="W13" i="4" s="1"/>
  <c r="W14" i="4" s="1"/>
  <c r="W15" i="4" s="1"/>
  <c r="W16" i="4" s="1"/>
  <c r="W17" i="4" s="1"/>
  <c r="W18" i="4" s="1"/>
  <c r="W19" i="4" s="1"/>
  <c r="W20" i="4" s="1"/>
  <c r="W21" i="4" s="1"/>
  <c r="W22" i="4" s="1"/>
  <c r="W23" i="4" s="1"/>
  <c r="W24" i="4" s="1"/>
  <c r="W25" i="4" s="1"/>
  <c r="W26" i="4" s="1"/>
  <c r="W27" i="4" s="1"/>
  <c r="W28" i="4" s="1"/>
  <c r="W29" i="4" s="1"/>
  <c r="W30" i="4" s="1"/>
  <c r="W31" i="4" s="1"/>
  <c r="W32" i="4" s="1"/>
  <c r="W33" i="4" s="1"/>
  <c r="W34" i="4" s="1"/>
  <c r="W35" i="4" s="1"/>
  <c r="W36" i="4" s="1"/>
  <c r="W37" i="4" s="1"/>
  <c r="W38" i="4" s="1"/>
  <c r="W39" i="4" s="1"/>
  <c r="W40" i="4" s="1"/>
  <c r="W41" i="4" s="1"/>
  <c r="W42" i="4" s="1"/>
  <c r="W43" i="4" s="1"/>
  <c r="W44" i="4" s="1"/>
  <c r="W45" i="4" s="1"/>
  <c r="W46" i="4" s="1"/>
  <c r="W47" i="4" s="1"/>
  <c r="W48" i="4" s="1"/>
  <c r="W49" i="4" s="1"/>
  <c r="W50" i="4" s="1"/>
  <c r="W51" i="4" s="1"/>
  <c r="W52" i="4" s="1"/>
  <c r="W53" i="4" s="1"/>
  <c r="W54" i="4" s="1"/>
  <c r="W55" i="4" s="1"/>
  <c r="W56" i="4" s="1"/>
  <c r="W57" i="4" s="1"/>
  <c r="W58" i="4" s="1"/>
  <c r="W59" i="4" s="1"/>
  <c r="W60" i="4" s="1"/>
  <c r="W61" i="4" s="1"/>
  <c r="W62" i="4" s="1"/>
  <c r="W63" i="4" s="1"/>
  <c r="W64" i="4" s="1"/>
  <c r="W65" i="4" s="1"/>
  <c r="W66" i="4" s="1"/>
  <c r="W67" i="4" s="1"/>
  <c r="W68" i="4" s="1"/>
  <c r="W69" i="4" s="1"/>
  <c r="W70" i="4" s="1"/>
  <c r="W71" i="4" s="1"/>
  <c r="W72" i="4" s="1"/>
  <c r="W73" i="4" s="1"/>
  <c r="W74" i="4" s="1"/>
  <c r="W75" i="4" s="1"/>
  <c r="W76" i="4" s="1"/>
  <c r="W77" i="4" s="1"/>
  <c r="W78" i="4" s="1"/>
  <c r="W79" i="4" s="1"/>
  <c r="W80" i="4" s="1"/>
  <c r="W81" i="4" s="1"/>
  <c r="W82" i="4" s="1"/>
  <c r="W83" i="4" s="1"/>
  <c r="W84" i="4" s="1"/>
  <c r="W85" i="4" s="1"/>
  <c r="W86" i="4" s="1"/>
  <c r="W87" i="4" s="1"/>
  <c r="W88" i="4" s="1"/>
  <c r="W89" i="4" s="1"/>
  <c r="W90" i="4" s="1"/>
  <c r="W91" i="4" s="1"/>
  <c r="W92" i="4" s="1"/>
  <c r="W93" i="4" s="1"/>
  <c r="W94" i="4" s="1"/>
  <c r="W95" i="4" s="1"/>
  <c r="W96" i="4" s="1"/>
  <c r="W97" i="4" s="1"/>
  <c r="W98" i="4" s="1"/>
  <c r="W99" i="4" s="1"/>
  <c r="W100" i="4" s="1"/>
  <c r="W101" i="4" s="1"/>
  <c r="W102" i="4" s="1"/>
  <c r="W103" i="4" s="1"/>
  <c r="W104" i="4" s="1"/>
  <c r="W105" i="4" s="1"/>
  <c r="W106" i="4" s="1"/>
  <c r="W107" i="4" s="1"/>
  <c r="W108" i="4" s="1"/>
  <c r="W109" i="4" s="1"/>
  <c r="W110" i="4" s="1"/>
  <c r="W111" i="4" s="1"/>
  <c r="W112" i="4" s="1"/>
  <c r="W113" i="4" s="1"/>
  <c r="W114" i="4" s="1"/>
  <c r="W115" i="4" s="1"/>
  <c r="W116" i="4" s="1"/>
  <c r="W117" i="4" s="1"/>
  <c r="W118" i="4" s="1"/>
  <c r="W119" i="4" s="1"/>
  <c r="W120" i="4" s="1"/>
  <c r="W121" i="4" s="1"/>
  <c r="W122" i="4" s="1"/>
  <c r="W123" i="4" s="1"/>
  <c r="W124" i="4" s="1"/>
  <c r="W125" i="4" s="1"/>
  <c r="W126" i="4" s="1"/>
  <c r="W127" i="4" s="1"/>
  <c r="W128" i="4" s="1"/>
  <c r="W129" i="4" s="1"/>
  <c r="W130" i="4" s="1"/>
  <c r="AI6" i="4"/>
  <c r="AI7" i="4" s="1"/>
  <c r="AI8" i="4" s="1"/>
  <c r="AI9" i="4" s="1"/>
  <c r="AI10" i="4" s="1"/>
  <c r="AI11" i="4" s="1"/>
  <c r="AI12" i="4" s="1"/>
  <c r="AI13" i="4" s="1"/>
  <c r="AI14"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43" i="4" s="1"/>
  <c r="AI44" i="4" s="1"/>
  <c r="AI45" i="4" s="1"/>
  <c r="AI46" i="4" s="1"/>
  <c r="AI47" i="4" s="1"/>
  <c r="AI48" i="4" s="1"/>
  <c r="AI49" i="4" s="1"/>
  <c r="AI50" i="4" s="1"/>
  <c r="AI51" i="4" s="1"/>
  <c r="AI52" i="4" s="1"/>
  <c r="AI53" i="4" s="1"/>
  <c r="AI54" i="4" s="1"/>
  <c r="AI55" i="4" s="1"/>
  <c r="AI56" i="4" s="1"/>
  <c r="AI57" i="4" s="1"/>
  <c r="AI58" i="4" s="1"/>
  <c r="AI59" i="4" s="1"/>
  <c r="AI60" i="4" s="1"/>
  <c r="AI61" i="4" s="1"/>
  <c r="AI62" i="4" s="1"/>
  <c r="AI63" i="4" s="1"/>
  <c r="AI64" i="4" s="1"/>
  <c r="AI65" i="4" s="1"/>
  <c r="AI66" i="4" s="1"/>
  <c r="AI67" i="4" s="1"/>
  <c r="AI68" i="4" s="1"/>
  <c r="AI69" i="4" s="1"/>
  <c r="AI70" i="4" s="1"/>
  <c r="AI71" i="4" s="1"/>
  <c r="AI72" i="4" s="1"/>
  <c r="AI73" i="4" s="1"/>
  <c r="AI74" i="4" s="1"/>
  <c r="AI75" i="4" s="1"/>
  <c r="AI76" i="4" s="1"/>
  <c r="AI77" i="4" s="1"/>
  <c r="AI78" i="4" s="1"/>
  <c r="AI79" i="4" s="1"/>
  <c r="AI80" i="4" s="1"/>
  <c r="AI81" i="4" s="1"/>
  <c r="AI82" i="4" s="1"/>
  <c r="AI83" i="4" s="1"/>
  <c r="AI84" i="4" s="1"/>
  <c r="AI85" i="4" s="1"/>
  <c r="AI86" i="4" s="1"/>
  <c r="AI87" i="4" s="1"/>
  <c r="AI88" i="4" s="1"/>
  <c r="AI89" i="4" s="1"/>
  <c r="AI90" i="4" s="1"/>
  <c r="AI91" i="4" s="1"/>
  <c r="AI92" i="4" s="1"/>
  <c r="AI93" i="4" s="1"/>
  <c r="AI94" i="4" s="1"/>
  <c r="AI95" i="4" s="1"/>
  <c r="AI96" i="4" s="1"/>
  <c r="AI97" i="4" s="1"/>
  <c r="AI98" i="4" s="1"/>
  <c r="AI99" i="4" s="1"/>
  <c r="AI100" i="4" s="1"/>
  <c r="AI101" i="4" s="1"/>
  <c r="AI102" i="4" s="1"/>
  <c r="AI103" i="4" s="1"/>
  <c r="AI104" i="4" s="1"/>
  <c r="AI105" i="4" s="1"/>
  <c r="AI106" i="4" s="1"/>
  <c r="AI107" i="4" s="1"/>
  <c r="AI108" i="4" s="1"/>
  <c r="AI109" i="4" s="1"/>
  <c r="AI110" i="4" s="1"/>
  <c r="AI111" i="4" s="1"/>
  <c r="AI112" i="4" s="1"/>
  <c r="AI113" i="4" s="1"/>
  <c r="AI114" i="4" s="1"/>
  <c r="AI115" i="4" s="1"/>
  <c r="AI116" i="4" s="1"/>
  <c r="AI117" i="4" s="1"/>
  <c r="AI118" i="4" s="1"/>
  <c r="AI119" i="4" s="1"/>
  <c r="AI120" i="4" s="1"/>
  <c r="AI121" i="4" s="1"/>
  <c r="AI122" i="4" s="1"/>
  <c r="AI123" i="4" s="1"/>
  <c r="AI124" i="4" s="1"/>
  <c r="AI125" i="4" s="1"/>
  <c r="AI126" i="4" s="1"/>
  <c r="AI127" i="4" s="1"/>
  <c r="AI128" i="4" s="1"/>
  <c r="AI129" i="4" s="1"/>
  <c r="AI130" i="4" s="1"/>
  <c r="AU6" i="4"/>
  <c r="AU7" i="4" s="1"/>
  <c r="AU8" i="4" s="1"/>
  <c r="AU9" i="4" s="1"/>
  <c r="AU10" i="4" s="1"/>
  <c r="AU11" i="4" s="1"/>
  <c r="AU12" i="4" s="1"/>
  <c r="AU13" i="4" s="1"/>
  <c r="AU14" i="4" s="1"/>
  <c r="AU15" i="4" s="1"/>
  <c r="AU16" i="4" s="1"/>
  <c r="AU17" i="4" s="1"/>
  <c r="AU18" i="4" s="1"/>
  <c r="AU19" i="4" s="1"/>
  <c r="AU20" i="4" s="1"/>
  <c r="AU21" i="4" s="1"/>
  <c r="AU22" i="4" s="1"/>
  <c r="AU23" i="4" s="1"/>
  <c r="AU24" i="4" s="1"/>
  <c r="AU25" i="4" s="1"/>
  <c r="AU26" i="4" s="1"/>
  <c r="AU27" i="4" s="1"/>
  <c r="AU28" i="4" s="1"/>
  <c r="AU29" i="4" s="1"/>
  <c r="AU30" i="4" s="1"/>
  <c r="AU31" i="4" s="1"/>
  <c r="AU32" i="4" s="1"/>
  <c r="AU33" i="4" s="1"/>
  <c r="AU34" i="4" s="1"/>
  <c r="AU35" i="4" s="1"/>
  <c r="AU36" i="4" s="1"/>
  <c r="AU37" i="4" s="1"/>
  <c r="AU38" i="4" s="1"/>
  <c r="AU39" i="4" s="1"/>
  <c r="AU40" i="4" s="1"/>
  <c r="AU41" i="4" s="1"/>
  <c r="AU42" i="4" s="1"/>
  <c r="AU43" i="4" s="1"/>
  <c r="AU44" i="4" s="1"/>
  <c r="AU45" i="4" s="1"/>
  <c r="AU46" i="4" s="1"/>
  <c r="AU47" i="4" s="1"/>
  <c r="AU48" i="4" s="1"/>
  <c r="AU49" i="4" s="1"/>
  <c r="AU50" i="4" s="1"/>
  <c r="AU51" i="4" s="1"/>
  <c r="AU52" i="4" s="1"/>
  <c r="AU53" i="4" s="1"/>
  <c r="AU54" i="4" s="1"/>
  <c r="AU55" i="4" s="1"/>
  <c r="AU56" i="4" s="1"/>
  <c r="AU57" i="4" s="1"/>
  <c r="AU58" i="4" s="1"/>
  <c r="AU59" i="4" s="1"/>
  <c r="AU60" i="4" s="1"/>
  <c r="AU61" i="4" s="1"/>
  <c r="AU62" i="4" s="1"/>
  <c r="AU63" i="4" s="1"/>
  <c r="AU64" i="4" s="1"/>
  <c r="AU65" i="4" s="1"/>
  <c r="AU66" i="4" s="1"/>
  <c r="AU67" i="4" s="1"/>
  <c r="AU68" i="4" s="1"/>
  <c r="AU69" i="4" s="1"/>
  <c r="AU70" i="4" s="1"/>
  <c r="AU71" i="4" s="1"/>
  <c r="AU72" i="4" s="1"/>
  <c r="AU73" i="4" s="1"/>
  <c r="AU74" i="4" s="1"/>
  <c r="AU75" i="4" s="1"/>
  <c r="AU76" i="4" s="1"/>
  <c r="AU77" i="4" s="1"/>
  <c r="AU78" i="4" s="1"/>
  <c r="AU79" i="4" s="1"/>
  <c r="AU80" i="4" s="1"/>
  <c r="AU81" i="4" s="1"/>
  <c r="AU82" i="4" s="1"/>
  <c r="AU83" i="4" s="1"/>
  <c r="AU84" i="4" s="1"/>
  <c r="AU85" i="4" s="1"/>
  <c r="AU86" i="4" s="1"/>
  <c r="AU87" i="4" s="1"/>
  <c r="AU88" i="4" s="1"/>
  <c r="AU89" i="4" s="1"/>
  <c r="AU90" i="4" s="1"/>
  <c r="AU91" i="4" s="1"/>
  <c r="AU92" i="4" s="1"/>
  <c r="AU93" i="4" s="1"/>
  <c r="AU94" i="4" s="1"/>
  <c r="AU95" i="4" s="1"/>
  <c r="AU96" i="4" s="1"/>
  <c r="AU97" i="4" s="1"/>
  <c r="AU98" i="4" s="1"/>
  <c r="AU99" i="4" s="1"/>
  <c r="AU100" i="4" s="1"/>
  <c r="AU101" i="4" s="1"/>
  <c r="AU102" i="4" s="1"/>
  <c r="AU103" i="4" s="1"/>
  <c r="AU104" i="4" s="1"/>
  <c r="AU105" i="4" s="1"/>
  <c r="AU106" i="4" s="1"/>
  <c r="AU107" i="4" s="1"/>
  <c r="AU108" i="4" s="1"/>
  <c r="AU109" i="4" s="1"/>
  <c r="AU110" i="4" s="1"/>
  <c r="AU111" i="4" s="1"/>
  <c r="AU112" i="4" s="1"/>
  <c r="AU113" i="4" s="1"/>
  <c r="AU114" i="4" s="1"/>
  <c r="AU115" i="4" s="1"/>
  <c r="AU116" i="4" s="1"/>
  <c r="AU117" i="4" s="1"/>
  <c r="AU118" i="4" s="1"/>
  <c r="AU119" i="4" s="1"/>
  <c r="AU120" i="4" s="1"/>
  <c r="AU121" i="4" s="1"/>
  <c r="AU122" i="4" s="1"/>
  <c r="AU123" i="4" s="1"/>
  <c r="AU124" i="4" s="1"/>
  <c r="AU125" i="4" s="1"/>
  <c r="AU126" i="4" s="1"/>
  <c r="AU127" i="4" s="1"/>
  <c r="AU128" i="4" s="1"/>
  <c r="AU129" i="4" s="1"/>
  <c r="AU130" i="4" s="1"/>
  <c r="X6" i="4"/>
  <c r="X7" i="4" s="1"/>
  <c r="X8" i="4" s="1"/>
  <c r="X9" i="4" s="1"/>
  <c r="X10" i="4" s="1"/>
  <c r="X11" i="4" s="1"/>
  <c r="X12" i="4" s="1"/>
  <c r="X13" i="4" s="1"/>
  <c r="X14" i="4" s="1"/>
  <c r="X15" i="4" s="1"/>
  <c r="X16" i="4" s="1"/>
  <c r="X17" i="4" s="1"/>
  <c r="X18" i="4" s="1"/>
  <c r="X19" i="4" s="1"/>
  <c r="X20" i="4" s="1"/>
  <c r="X21" i="4" s="1"/>
  <c r="X22" i="4" s="1"/>
  <c r="X23" i="4" s="1"/>
  <c r="X24" i="4" s="1"/>
  <c r="X25" i="4" s="1"/>
  <c r="X26" i="4" s="1"/>
  <c r="X27" i="4" s="1"/>
  <c r="X28" i="4" s="1"/>
  <c r="X29" i="4" s="1"/>
  <c r="X30" i="4" s="1"/>
  <c r="X31" i="4" s="1"/>
  <c r="X32" i="4" s="1"/>
  <c r="X33" i="4" s="1"/>
  <c r="X34" i="4" s="1"/>
  <c r="X35" i="4" s="1"/>
  <c r="X36" i="4" s="1"/>
  <c r="X37" i="4" s="1"/>
  <c r="X38" i="4" s="1"/>
  <c r="X39" i="4" s="1"/>
  <c r="X40" i="4" s="1"/>
  <c r="X41" i="4" s="1"/>
  <c r="X42" i="4" s="1"/>
  <c r="X43" i="4" s="1"/>
  <c r="X44" i="4" s="1"/>
  <c r="X45" i="4" s="1"/>
  <c r="X46" i="4" s="1"/>
  <c r="X47" i="4" s="1"/>
  <c r="X48" i="4" s="1"/>
  <c r="X49" i="4" s="1"/>
  <c r="X50" i="4" s="1"/>
  <c r="X51" i="4" s="1"/>
  <c r="X52" i="4" s="1"/>
  <c r="X53" i="4" s="1"/>
  <c r="X54" i="4" s="1"/>
  <c r="X55" i="4" s="1"/>
  <c r="X56" i="4" s="1"/>
  <c r="X57" i="4" s="1"/>
  <c r="X58" i="4" s="1"/>
  <c r="X59" i="4" s="1"/>
  <c r="X60" i="4" s="1"/>
  <c r="X61" i="4" s="1"/>
  <c r="X62" i="4" s="1"/>
  <c r="X63" i="4" s="1"/>
  <c r="X64" i="4" s="1"/>
  <c r="X65" i="4" s="1"/>
  <c r="X66" i="4" s="1"/>
  <c r="X67" i="4" s="1"/>
  <c r="X68" i="4" s="1"/>
  <c r="X69" i="4" s="1"/>
  <c r="X70" i="4" s="1"/>
  <c r="X71" i="4" s="1"/>
  <c r="X72" i="4" s="1"/>
  <c r="X73" i="4" s="1"/>
  <c r="X74" i="4" s="1"/>
  <c r="X75" i="4" s="1"/>
  <c r="X76" i="4" s="1"/>
  <c r="X77" i="4" s="1"/>
  <c r="X78" i="4" s="1"/>
  <c r="X79" i="4" s="1"/>
  <c r="X80" i="4" s="1"/>
  <c r="X81" i="4" s="1"/>
  <c r="X82" i="4" s="1"/>
  <c r="X83" i="4" s="1"/>
  <c r="X84" i="4" s="1"/>
  <c r="X85" i="4" s="1"/>
  <c r="X86" i="4" s="1"/>
  <c r="X87" i="4" s="1"/>
  <c r="X88" i="4" s="1"/>
  <c r="X89" i="4" s="1"/>
  <c r="X90" i="4" s="1"/>
  <c r="X91" i="4" s="1"/>
  <c r="X92" i="4" s="1"/>
  <c r="X93" i="4" s="1"/>
  <c r="X94" i="4" s="1"/>
  <c r="X95" i="4" s="1"/>
  <c r="X96" i="4" s="1"/>
  <c r="X97" i="4" s="1"/>
  <c r="X98" i="4" s="1"/>
  <c r="X99" i="4" s="1"/>
  <c r="X100" i="4" s="1"/>
  <c r="X101" i="4" s="1"/>
  <c r="X102" i="4" s="1"/>
  <c r="X103" i="4" s="1"/>
  <c r="X104" i="4" s="1"/>
  <c r="X105" i="4" s="1"/>
  <c r="X106" i="4" s="1"/>
  <c r="X107" i="4" s="1"/>
  <c r="X108" i="4" s="1"/>
  <c r="X109" i="4" s="1"/>
  <c r="X110" i="4" s="1"/>
  <c r="X111" i="4" s="1"/>
  <c r="X112" i="4" s="1"/>
  <c r="X113" i="4" s="1"/>
  <c r="X114" i="4" s="1"/>
  <c r="X115" i="4" s="1"/>
  <c r="X116" i="4" s="1"/>
  <c r="X117" i="4" s="1"/>
  <c r="X118" i="4" s="1"/>
  <c r="X119" i="4" s="1"/>
  <c r="X120" i="4" s="1"/>
  <c r="X121" i="4" s="1"/>
  <c r="X122" i="4" s="1"/>
  <c r="X123" i="4" s="1"/>
  <c r="X124" i="4" s="1"/>
  <c r="X125" i="4" s="1"/>
  <c r="X126" i="4" s="1"/>
  <c r="X127" i="4" s="1"/>
  <c r="X128" i="4" s="1"/>
  <c r="X129" i="4" s="1"/>
  <c r="X130" i="4" s="1"/>
  <c r="AJ6" i="4"/>
  <c r="AJ7" i="4" s="1"/>
  <c r="AJ8" i="4" s="1"/>
  <c r="AJ9" i="4" s="1"/>
  <c r="AJ10" i="4" s="1"/>
  <c r="AJ11" i="4" s="1"/>
  <c r="AJ12" i="4" s="1"/>
  <c r="AJ13" i="4" s="1"/>
  <c r="AJ14" i="4" s="1"/>
  <c r="AJ15" i="4" s="1"/>
  <c r="AJ16" i="4" s="1"/>
  <c r="AJ17" i="4" s="1"/>
  <c r="AJ18" i="4" s="1"/>
  <c r="AJ19" i="4" s="1"/>
  <c r="AJ20" i="4" s="1"/>
  <c r="AJ21" i="4" s="1"/>
  <c r="AJ22" i="4" s="1"/>
  <c r="AJ23" i="4" s="1"/>
  <c r="AJ24" i="4" s="1"/>
  <c r="AJ25" i="4" s="1"/>
  <c r="AJ26" i="4" s="1"/>
  <c r="AJ27" i="4" s="1"/>
  <c r="AJ28" i="4" s="1"/>
  <c r="AJ29" i="4" s="1"/>
  <c r="AJ30" i="4" s="1"/>
  <c r="AJ31" i="4" s="1"/>
  <c r="AJ32" i="4" s="1"/>
  <c r="AJ33" i="4" s="1"/>
  <c r="AJ34" i="4" s="1"/>
  <c r="AJ35" i="4" s="1"/>
  <c r="AJ36" i="4" s="1"/>
  <c r="AJ37" i="4" s="1"/>
  <c r="AJ38" i="4" s="1"/>
  <c r="AJ39" i="4" s="1"/>
  <c r="AJ40" i="4" s="1"/>
  <c r="AJ41" i="4" s="1"/>
  <c r="AJ42" i="4" s="1"/>
  <c r="AJ43" i="4" s="1"/>
  <c r="AJ44" i="4" s="1"/>
  <c r="AJ45" i="4" s="1"/>
  <c r="AJ46" i="4" s="1"/>
  <c r="AJ47" i="4" s="1"/>
  <c r="AJ48" i="4" s="1"/>
  <c r="AJ49" i="4" s="1"/>
  <c r="AJ50" i="4" s="1"/>
  <c r="AJ51" i="4" s="1"/>
  <c r="AJ52" i="4" s="1"/>
  <c r="AJ53" i="4" s="1"/>
  <c r="AJ54" i="4" s="1"/>
  <c r="AJ55" i="4" s="1"/>
  <c r="AJ56" i="4" s="1"/>
  <c r="AJ57" i="4" s="1"/>
  <c r="AJ58" i="4" s="1"/>
  <c r="AJ59" i="4" s="1"/>
  <c r="AJ60" i="4" s="1"/>
  <c r="AJ61" i="4" s="1"/>
  <c r="AJ62" i="4" s="1"/>
  <c r="AJ63" i="4" s="1"/>
  <c r="AJ64" i="4" s="1"/>
  <c r="AJ65" i="4" s="1"/>
  <c r="AJ66" i="4" s="1"/>
  <c r="AJ67" i="4" s="1"/>
  <c r="AJ68" i="4" s="1"/>
  <c r="AJ69" i="4" s="1"/>
  <c r="AJ70" i="4" s="1"/>
  <c r="AJ71" i="4" s="1"/>
  <c r="AJ72" i="4" s="1"/>
  <c r="AJ73" i="4" s="1"/>
  <c r="AJ74" i="4" s="1"/>
  <c r="AJ75" i="4" s="1"/>
  <c r="AJ76" i="4" s="1"/>
  <c r="AJ77" i="4" s="1"/>
  <c r="AJ78" i="4" s="1"/>
  <c r="AJ79" i="4" s="1"/>
  <c r="AJ80" i="4" s="1"/>
  <c r="AJ81" i="4" s="1"/>
  <c r="AJ82" i="4" s="1"/>
  <c r="AJ83" i="4" s="1"/>
  <c r="AJ84" i="4" s="1"/>
  <c r="AJ85" i="4" s="1"/>
  <c r="AJ86" i="4" s="1"/>
  <c r="AJ87" i="4" s="1"/>
  <c r="AJ88" i="4" s="1"/>
  <c r="AJ89" i="4" s="1"/>
  <c r="AJ90" i="4" s="1"/>
  <c r="AJ91" i="4" s="1"/>
  <c r="AJ92" i="4" s="1"/>
  <c r="AJ93" i="4" s="1"/>
  <c r="AJ94" i="4" s="1"/>
  <c r="AJ95" i="4" s="1"/>
  <c r="AJ96" i="4" s="1"/>
  <c r="AJ97" i="4" s="1"/>
  <c r="AJ98" i="4" s="1"/>
  <c r="AJ99" i="4" s="1"/>
  <c r="AJ100" i="4" s="1"/>
  <c r="AJ101" i="4" s="1"/>
  <c r="AJ102" i="4" s="1"/>
  <c r="AJ103" i="4" s="1"/>
  <c r="AJ104" i="4" s="1"/>
  <c r="AJ105" i="4" s="1"/>
  <c r="AJ106" i="4" s="1"/>
  <c r="AJ107" i="4" s="1"/>
  <c r="AJ108" i="4" s="1"/>
  <c r="AJ109" i="4" s="1"/>
  <c r="AJ110" i="4" s="1"/>
  <c r="AJ111" i="4" s="1"/>
  <c r="AJ112" i="4" s="1"/>
  <c r="AJ113" i="4" s="1"/>
  <c r="AJ114" i="4" s="1"/>
  <c r="AJ115" i="4" s="1"/>
  <c r="AJ116" i="4" s="1"/>
  <c r="AJ117" i="4" s="1"/>
  <c r="AJ118" i="4" s="1"/>
  <c r="AJ119" i="4" s="1"/>
  <c r="AJ120" i="4" s="1"/>
  <c r="AJ121" i="4" s="1"/>
  <c r="AJ122" i="4" s="1"/>
  <c r="AJ123" i="4" s="1"/>
  <c r="AJ124" i="4" s="1"/>
  <c r="AJ125" i="4" s="1"/>
  <c r="AJ126" i="4" s="1"/>
  <c r="AJ127" i="4" s="1"/>
  <c r="AJ128" i="4" s="1"/>
  <c r="AJ129" i="4" s="1"/>
  <c r="AJ130" i="4" s="1"/>
  <c r="AV6" i="4"/>
  <c r="AV7" i="4" s="1"/>
  <c r="AV8" i="4" s="1"/>
  <c r="AV9" i="4" s="1"/>
  <c r="AV10" i="4" s="1"/>
  <c r="AV11" i="4" s="1"/>
  <c r="AV12" i="4" s="1"/>
  <c r="AV13" i="4" s="1"/>
  <c r="AV14" i="4" s="1"/>
  <c r="AV15" i="4" s="1"/>
  <c r="AV16" i="4" s="1"/>
  <c r="AV17" i="4" s="1"/>
  <c r="AV18" i="4" s="1"/>
  <c r="AV19" i="4" s="1"/>
  <c r="AV20" i="4" s="1"/>
  <c r="AV21" i="4" s="1"/>
  <c r="AV22" i="4" s="1"/>
  <c r="AV23" i="4" s="1"/>
  <c r="AV24" i="4" s="1"/>
  <c r="AV25" i="4" s="1"/>
  <c r="AV26" i="4" s="1"/>
  <c r="AV27" i="4" s="1"/>
  <c r="AV28" i="4" s="1"/>
  <c r="AV29" i="4" s="1"/>
  <c r="AV30" i="4" s="1"/>
  <c r="AV31" i="4" s="1"/>
  <c r="AV32" i="4" s="1"/>
  <c r="AV33" i="4" s="1"/>
  <c r="AV34" i="4" s="1"/>
  <c r="AV35" i="4" s="1"/>
  <c r="AV36" i="4" s="1"/>
  <c r="AV37" i="4" s="1"/>
  <c r="AV38" i="4" s="1"/>
  <c r="AV39" i="4" s="1"/>
  <c r="AV40" i="4" s="1"/>
  <c r="AV41" i="4" s="1"/>
  <c r="AV42" i="4" s="1"/>
  <c r="AV43" i="4" s="1"/>
  <c r="AV44" i="4" s="1"/>
  <c r="AV45" i="4" s="1"/>
  <c r="AV46" i="4" s="1"/>
  <c r="AV47" i="4" s="1"/>
  <c r="AV48" i="4" s="1"/>
  <c r="AV49" i="4" s="1"/>
  <c r="AV50" i="4" s="1"/>
  <c r="AV51" i="4" s="1"/>
  <c r="AV52" i="4" s="1"/>
  <c r="AV53" i="4" s="1"/>
  <c r="AV54" i="4" s="1"/>
  <c r="AV55" i="4" s="1"/>
  <c r="AV56" i="4" s="1"/>
  <c r="AV57" i="4" s="1"/>
  <c r="AV58" i="4" s="1"/>
  <c r="AV59" i="4" s="1"/>
  <c r="AV60" i="4" s="1"/>
  <c r="AV61" i="4" s="1"/>
  <c r="AV62" i="4" s="1"/>
  <c r="AV63" i="4" s="1"/>
  <c r="AV64" i="4" s="1"/>
  <c r="AV65" i="4" s="1"/>
  <c r="AV66" i="4" s="1"/>
  <c r="AV67" i="4" s="1"/>
  <c r="AV68" i="4" s="1"/>
  <c r="AV69" i="4" s="1"/>
  <c r="AV70" i="4" s="1"/>
  <c r="AV71" i="4" s="1"/>
  <c r="AV72" i="4" s="1"/>
  <c r="AV73" i="4" s="1"/>
  <c r="AV74" i="4" s="1"/>
  <c r="AV75" i="4" s="1"/>
  <c r="AV76" i="4" s="1"/>
  <c r="AV77" i="4" s="1"/>
  <c r="AV78" i="4" s="1"/>
  <c r="AV79" i="4" s="1"/>
  <c r="AV80" i="4" s="1"/>
  <c r="AV81" i="4" s="1"/>
  <c r="AV82" i="4" s="1"/>
  <c r="AV83" i="4" s="1"/>
  <c r="AV84" i="4" s="1"/>
  <c r="AV85" i="4" s="1"/>
  <c r="AV86" i="4" s="1"/>
  <c r="AV87" i="4" s="1"/>
  <c r="AV88" i="4" s="1"/>
  <c r="AV89" i="4" s="1"/>
  <c r="AV90" i="4" s="1"/>
  <c r="AV91" i="4" s="1"/>
  <c r="AV92" i="4" s="1"/>
  <c r="AV93" i="4" s="1"/>
  <c r="AV94" i="4" s="1"/>
  <c r="AV95" i="4" s="1"/>
  <c r="AV96" i="4" s="1"/>
  <c r="AV97" i="4" s="1"/>
  <c r="AV98" i="4" s="1"/>
  <c r="AV99" i="4" s="1"/>
  <c r="AV100" i="4" s="1"/>
  <c r="AV101" i="4" s="1"/>
  <c r="AV102" i="4" s="1"/>
  <c r="AV103" i="4" s="1"/>
  <c r="AV104" i="4" s="1"/>
  <c r="AV105" i="4" s="1"/>
  <c r="AV106" i="4" s="1"/>
  <c r="AV107" i="4" s="1"/>
  <c r="AV108" i="4" s="1"/>
  <c r="AV109" i="4" s="1"/>
  <c r="AV110" i="4" s="1"/>
  <c r="AV111" i="4" s="1"/>
  <c r="AV112" i="4" s="1"/>
  <c r="AV113" i="4" s="1"/>
  <c r="AV114" i="4" s="1"/>
  <c r="AV115" i="4" s="1"/>
  <c r="AV116" i="4" s="1"/>
  <c r="AV117" i="4" s="1"/>
  <c r="AV118" i="4" s="1"/>
  <c r="AV119" i="4" s="1"/>
  <c r="AV120" i="4" s="1"/>
  <c r="AV121" i="4" s="1"/>
  <c r="AV122" i="4" s="1"/>
  <c r="AV123" i="4" s="1"/>
  <c r="AV124" i="4" s="1"/>
  <c r="AV125" i="4" s="1"/>
  <c r="AV126" i="4" s="1"/>
  <c r="AV127" i="4" s="1"/>
  <c r="AV128" i="4" s="1"/>
  <c r="AV129" i="4" s="1"/>
  <c r="AV130" i="4" s="1"/>
  <c r="Y6" i="4"/>
  <c r="Y7" i="4" s="1"/>
  <c r="Y8" i="4" s="1"/>
  <c r="Y9" i="4" s="1"/>
  <c r="Y10" i="4" s="1"/>
  <c r="Y11" i="4" s="1"/>
  <c r="Y12" i="4" s="1"/>
  <c r="Y13" i="4" s="1"/>
  <c r="Y14" i="4" s="1"/>
  <c r="Y15" i="4" s="1"/>
  <c r="Y16" i="4" s="1"/>
  <c r="Y17" i="4" s="1"/>
  <c r="Y18" i="4" s="1"/>
  <c r="Y19" i="4" s="1"/>
  <c r="Y20" i="4" s="1"/>
  <c r="Y21" i="4" s="1"/>
  <c r="Y22" i="4" s="1"/>
  <c r="Y23" i="4" s="1"/>
  <c r="Y24" i="4" s="1"/>
  <c r="Y25" i="4" s="1"/>
  <c r="Y26" i="4" s="1"/>
  <c r="Y27" i="4" s="1"/>
  <c r="Y28" i="4" s="1"/>
  <c r="Y29" i="4" s="1"/>
  <c r="Y30" i="4" s="1"/>
  <c r="Y31" i="4" s="1"/>
  <c r="Y32" i="4" s="1"/>
  <c r="Y33" i="4" s="1"/>
  <c r="Y34" i="4" s="1"/>
  <c r="Y35" i="4" s="1"/>
  <c r="Y36" i="4" s="1"/>
  <c r="Y37" i="4" s="1"/>
  <c r="Y38" i="4" s="1"/>
  <c r="Y39" i="4" s="1"/>
  <c r="Y40" i="4" s="1"/>
  <c r="Y41" i="4" s="1"/>
  <c r="Y42" i="4" s="1"/>
  <c r="Y43" i="4" s="1"/>
  <c r="Y44" i="4" s="1"/>
  <c r="Y45" i="4" s="1"/>
  <c r="Y46" i="4" s="1"/>
  <c r="Y47" i="4" s="1"/>
  <c r="Y48" i="4" s="1"/>
  <c r="Y49" i="4" s="1"/>
  <c r="Y50" i="4" s="1"/>
  <c r="Y51" i="4" s="1"/>
  <c r="Y52" i="4" s="1"/>
  <c r="Y53" i="4" s="1"/>
  <c r="Y54" i="4" s="1"/>
  <c r="Y55" i="4" s="1"/>
  <c r="Y56" i="4" s="1"/>
  <c r="Y57" i="4" s="1"/>
  <c r="Y58" i="4" s="1"/>
  <c r="Y59" i="4" s="1"/>
  <c r="Y60" i="4" s="1"/>
  <c r="Y61" i="4" s="1"/>
  <c r="Y62" i="4" s="1"/>
  <c r="Y63" i="4" s="1"/>
  <c r="Y64" i="4" s="1"/>
  <c r="Y65" i="4" s="1"/>
  <c r="Y66" i="4" s="1"/>
  <c r="Y67" i="4" s="1"/>
  <c r="Y68" i="4" s="1"/>
  <c r="Y69" i="4" s="1"/>
  <c r="Y70" i="4" s="1"/>
  <c r="Y71" i="4" s="1"/>
  <c r="Y72" i="4" s="1"/>
  <c r="Y73" i="4" s="1"/>
  <c r="Y74" i="4" s="1"/>
  <c r="Y75" i="4" s="1"/>
  <c r="Y76" i="4" s="1"/>
  <c r="Y77" i="4" s="1"/>
  <c r="Y78" i="4" s="1"/>
  <c r="Y79" i="4" s="1"/>
  <c r="Y80" i="4" s="1"/>
  <c r="Y81" i="4" s="1"/>
  <c r="Y82" i="4" s="1"/>
  <c r="Y83" i="4" s="1"/>
  <c r="Y84" i="4" s="1"/>
  <c r="Y85" i="4" s="1"/>
  <c r="Y86" i="4" s="1"/>
  <c r="Y87" i="4" s="1"/>
  <c r="Y88" i="4" s="1"/>
  <c r="Y89" i="4" s="1"/>
  <c r="Y90" i="4" s="1"/>
  <c r="Y91" i="4" s="1"/>
  <c r="Y92" i="4" s="1"/>
  <c r="Y93" i="4" s="1"/>
  <c r="Y94" i="4" s="1"/>
  <c r="Y95" i="4" s="1"/>
  <c r="Y96" i="4" s="1"/>
  <c r="Y97" i="4" s="1"/>
  <c r="Y98" i="4" s="1"/>
  <c r="Y99" i="4" s="1"/>
  <c r="Y100" i="4" s="1"/>
  <c r="Y101" i="4" s="1"/>
  <c r="Y102" i="4" s="1"/>
  <c r="Y103" i="4" s="1"/>
  <c r="Y104" i="4" s="1"/>
  <c r="Y105" i="4" s="1"/>
  <c r="Y106" i="4" s="1"/>
  <c r="Y107" i="4" s="1"/>
  <c r="Y108" i="4" s="1"/>
  <c r="Y109" i="4" s="1"/>
  <c r="Y110" i="4" s="1"/>
  <c r="Y111" i="4" s="1"/>
  <c r="Y112" i="4" s="1"/>
  <c r="Y113" i="4" s="1"/>
  <c r="Y114" i="4" s="1"/>
  <c r="Y115" i="4" s="1"/>
  <c r="Y116" i="4" s="1"/>
  <c r="Y117" i="4" s="1"/>
  <c r="Y118" i="4" s="1"/>
  <c r="Y119" i="4" s="1"/>
  <c r="Y120" i="4" s="1"/>
  <c r="Y121" i="4" s="1"/>
  <c r="Y122" i="4" s="1"/>
  <c r="Y123" i="4" s="1"/>
  <c r="Y124" i="4" s="1"/>
  <c r="Y125" i="4" s="1"/>
  <c r="Y126" i="4" s="1"/>
  <c r="Y127" i="4" s="1"/>
  <c r="Y128" i="4" s="1"/>
  <c r="Y129" i="4" s="1"/>
  <c r="Y130" i="4" s="1"/>
  <c r="AK6" i="4"/>
  <c r="AK7" i="4" s="1"/>
  <c r="AK8" i="4" s="1"/>
  <c r="AK9" i="4" s="1"/>
  <c r="AK10" i="4" s="1"/>
  <c r="AK11" i="4" s="1"/>
  <c r="AK12" i="4" s="1"/>
  <c r="AK13" i="4" s="1"/>
  <c r="AK14" i="4" s="1"/>
  <c r="AK15" i="4" s="1"/>
  <c r="AK16" i="4" s="1"/>
  <c r="AK17" i="4" s="1"/>
  <c r="AK18" i="4" s="1"/>
  <c r="AK19" i="4" s="1"/>
  <c r="AK20" i="4" s="1"/>
  <c r="AK21" i="4" s="1"/>
  <c r="AK22" i="4" s="1"/>
  <c r="AK23" i="4" s="1"/>
  <c r="AK24" i="4" s="1"/>
  <c r="AK25" i="4" s="1"/>
  <c r="AK26" i="4" s="1"/>
  <c r="AK27" i="4" s="1"/>
  <c r="AK28" i="4" s="1"/>
  <c r="AK29" i="4" s="1"/>
  <c r="AK30" i="4" s="1"/>
  <c r="AK31" i="4" s="1"/>
  <c r="AK32" i="4" s="1"/>
  <c r="AK33" i="4" s="1"/>
  <c r="AK34" i="4" s="1"/>
  <c r="AK35" i="4" s="1"/>
  <c r="AK36" i="4" s="1"/>
  <c r="AK37" i="4" s="1"/>
  <c r="AK38" i="4" s="1"/>
  <c r="AK39" i="4" s="1"/>
  <c r="AK40" i="4" s="1"/>
  <c r="AK41" i="4" s="1"/>
  <c r="AK42" i="4" s="1"/>
  <c r="AK43" i="4" s="1"/>
  <c r="AK44" i="4" s="1"/>
  <c r="AK45" i="4" s="1"/>
  <c r="AK46" i="4" s="1"/>
  <c r="AK47" i="4" s="1"/>
  <c r="AK48" i="4" s="1"/>
  <c r="AK49" i="4" s="1"/>
  <c r="AK50" i="4" s="1"/>
  <c r="AK51" i="4" s="1"/>
  <c r="AK52" i="4" s="1"/>
  <c r="AK53" i="4" s="1"/>
  <c r="AK54" i="4" s="1"/>
  <c r="AK55" i="4" s="1"/>
  <c r="AK56" i="4" s="1"/>
  <c r="AK57" i="4" s="1"/>
  <c r="AK58" i="4" s="1"/>
  <c r="AK59" i="4" s="1"/>
  <c r="AK60" i="4" s="1"/>
  <c r="AK61" i="4" s="1"/>
  <c r="AK62" i="4" s="1"/>
  <c r="AK63" i="4" s="1"/>
  <c r="AK64" i="4" s="1"/>
  <c r="AK65" i="4" s="1"/>
  <c r="AK66" i="4" s="1"/>
  <c r="AK67" i="4" s="1"/>
  <c r="AK68" i="4" s="1"/>
  <c r="AK69" i="4" s="1"/>
  <c r="AK70" i="4" s="1"/>
  <c r="AK71" i="4" s="1"/>
  <c r="AK72" i="4" s="1"/>
  <c r="AK73" i="4" s="1"/>
  <c r="AK74" i="4" s="1"/>
  <c r="AK75" i="4" s="1"/>
  <c r="AK76" i="4" s="1"/>
  <c r="AK77" i="4" s="1"/>
  <c r="AK78" i="4" s="1"/>
  <c r="AK79" i="4" s="1"/>
  <c r="AK80" i="4" s="1"/>
  <c r="AK81" i="4" s="1"/>
  <c r="AK82" i="4" s="1"/>
  <c r="AK83" i="4" s="1"/>
  <c r="AK84" i="4" s="1"/>
  <c r="AK85" i="4" s="1"/>
  <c r="AK86" i="4" s="1"/>
  <c r="AK87" i="4" s="1"/>
  <c r="AK88" i="4" s="1"/>
  <c r="AK89" i="4" s="1"/>
  <c r="AK90" i="4" s="1"/>
  <c r="AK91" i="4" s="1"/>
  <c r="AK92" i="4" s="1"/>
  <c r="AK93" i="4" s="1"/>
  <c r="AK94" i="4" s="1"/>
  <c r="AK95" i="4" s="1"/>
  <c r="AK96" i="4" s="1"/>
  <c r="AK97" i="4" s="1"/>
  <c r="AK98" i="4" s="1"/>
  <c r="AK99" i="4" s="1"/>
  <c r="AK100" i="4" s="1"/>
  <c r="AK101" i="4" s="1"/>
  <c r="AK102" i="4" s="1"/>
  <c r="AK103" i="4" s="1"/>
  <c r="AK104" i="4" s="1"/>
  <c r="AK105" i="4" s="1"/>
  <c r="AK106" i="4" s="1"/>
  <c r="AK107" i="4" s="1"/>
  <c r="AK108" i="4" s="1"/>
  <c r="AK109" i="4" s="1"/>
  <c r="AK110" i="4" s="1"/>
  <c r="AK111" i="4" s="1"/>
  <c r="AK112" i="4" s="1"/>
  <c r="AK113" i="4" s="1"/>
  <c r="AK114" i="4" s="1"/>
  <c r="AK115" i="4" s="1"/>
  <c r="AK116" i="4" s="1"/>
  <c r="AK117" i="4" s="1"/>
  <c r="AK118" i="4" s="1"/>
  <c r="AK119" i="4" s="1"/>
  <c r="AK120" i="4" s="1"/>
  <c r="AK121" i="4" s="1"/>
  <c r="AK122" i="4" s="1"/>
  <c r="AK123" i="4" s="1"/>
  <c r="AK124" i="4" s="1"/>
  <c r="AK125" i="4" s="1"/>
  <c r="AK126" i="4" s="1"/>
  <c r="AK127" i="4" s="1"/>
  <c r="AK128" i="4" s="1"/>
  <c r="AK129" i="4" s="1"/>
  <c r="AK130" i="4" s="1"/>
  <c r="AW6" i="4"/>
  <c r="AW7" i="4" s="1"/>
  <c r="AW8" i="4" s="1"/>
  <c r="AW9" i="4" s="1"/>
  <c r="AW10" i="4" s="1"/>
  <c r="AW11" i="4" s="1"/>
  <c r="AW12" i="4" s="1"/>
  <c r="AW13" i="4" s="1"/>
  <c r="AW14" i="4" s="1"/>
  <c r="AW15" i="4" s="1"/>
  <c r="AW16" i="4" s="1"/>
  <c r="AW17" i="4" s="1"/>
  <c r="AW18" i="4" s="1"/>
  <c r="AW19" i="4" s="1"/>
  <c r="AW20" i="4" s="1"/>
  <c r="AW21" i="4" s="1"/>
  <c r="AW22" i="4" s="1"/>
  <c r="AW23" i="4" s="1"/>
  <c r="AW24" i="4" s="1"/>
  <c r="AW25" i="4" s="1"/>
  <c r="AW26" i="4" s="1"/>
  <c r="AW27" i="4" s="1"/>
  <c r="AW28" i="4" s="1"/>
  <c r="AW29" i="4" s="1"/>
  <c r="AW30" i="4" s="1"/>
  <c r="AW31" i="4" s="1"/>
  <c r="AW32" i="4" s="1"/>
  <c r="AW33" i="4" s="1"/>
  <c r="AW34" i="4" s="1"/>
  <c r="AW35" i="4" s="1"/>
  <c r="AW36" i="4" s="1"/>
  <c r="AW37" i="4" s="1"/>
  <c r="AW38" i="4" s="1"/>
  <c r="AW39" i="4" s="1"/>
  <c r="AW40" i="4" s="1"/>
  <c r="AW41" i="4" s="1"/>
  <c r="AW42" i="4" s="1"/>
  <c r="AW43" i="4" s="1"/>
  <c r="AW44" i="4" s="1"/>
  <c r="AW45" i="4" s="1"/>
  <c r="AW46" i="4" s="1"/>
  <c r="AW47" i="4" s="1"/>
  <c r="AW48" i="4" s="1"/>
  <c r="AW49" i="4" s="1"/>
  <c r="AW50" i="4" s="1"/>
  <c r="AW51" i="4" s="1"/>
  <c r="AW52" i="4" s="1"/>
  <c r="AW53" i="4" s="1"/>
  <c r="AW54" i="4" s="1"/>
  <c r="AW55" i="4" s="1"/>
  <c r="AW56" i="4" s="1"/>
  <c r="AW57" i="4" s="1"/>
  <c r="AW58" i="4" s="1"/>
  <c r="AW59" i="4" s="1"/>
  <c r="AW60" i="4" s="1"/>
  <c r="AW61" i="4" s="1"/>
  <c r="AW62" i="4" s="1"/>
  <c r="AW63" i="4" s="1"/>
  <c r="AW64" i="4" s="1"/>
  <c r="AW65" i="4" s="1"/>
  <c r="AW66" i="4" s="1"/>
  <c r="AW67" i="4" s="1"/>
  <c r="AW68" i="4" s="1"/>
  <c r="AW69" i="4" s="1"/>
  <c r="AW70" i="4" s="1"/>
  <c r="AW71" i="4" s="1"/>
  <c r="AW72" i="4" s="1"/>
  <c r="AW73" i="4" s="1"/>
  <c r="AW74" i="4" s="1"/>
  <c r="AW75" i="4" s="1"/>
  <c r="AW76" i="4" s="1"/>
  <c r="AW77" i="4" s="1"/>
  <c r="AW78" i="4" s="1"/>
  <c r="AW79" i="4" s="1"/>
  <c r="AW80" i="4" s="1"/>
  <c r="AW81" i="4" s="1"/>
  <c r="AW82" i="4" s="1"/>
  <c r="AW83" i="4" s="1"/>
  <c r="AW84" i="4" s="1"/>
  <c r="AW85" i="4" s="1"/>
  <c r="AW86" i="4" s="1"/>
  <c r="AW87" i="4" s="1"/>
  <c r="AW88" i="4" s="1"/>
  <c r="AW89" i="4" s="1"/>
  <c r="AW90" i="4" s="1"/>
  <c r="AW91" i="4" s="1"/>
  <c r="AW92" i="4" s="1"/>
  <c r="AW93" i="4" s="1"/>
  <c r="AW94" i="4" s="1"/>
  <c r="AW95" i="4" s="1"/>
  <c r="AW96" i="4" s="1"/>
  <c r="AW97" i="4" s="1"/>
  <c r="AW98" i="4" s="1"/>
  <c r="AW99" i="4" s="1"/>
  <c r="AW100" i="4" s="1"/>
  <c r="AW101" i="4" s="1"/>
  <c r="AW102" i="4" s="1"/>
  <c r="AW103" i="4" s="1"/>
  <c r="AW104" i="4" s="1"/>
  <c r="AW105" i="4" s="1"/>
  <c r="AW106" i="4" s="1"/>
  <c r="AW107" i="4" s="1"/>
  <c r="AW108" i="4" s="1"/>
  <c r="AW109" i="4" s="1"/>
  <c r="AW110" i="4" s="1"/>
  <c r="AW111" i="4" s="1"/>
  <c r="AW112" i="4" s="1"/>
  <c r="AW113" i="4" s="1"/>
  <c r="AW114" i="4" s="1"/>
  <c r="AW115" i="4" s="1"/>
  <c r="AW116" i="4" s="1"/>
  <c r="AW117" i="4" s="1"/>
  <c r="AW118" i="4" s="1"/>
  <c r="AW119" i="4" s="1"/>
  <c r="AW120" i="4" s="1"/>
  <c r="AW121" i="4" s="1"/>
  <c r="AW122" i="4" s="1"/>
  <c r="AW123" i="4" s="1"/>
  <c r="AW124" i="4" s="1"/>
  <c r="AW125" i="4" s="1"/>
  <c r="AW126" i="4" s="1"/>
  <c r="AW127" i="4" s="1"/>
  <c r="AW128" i="4" s="1"/>
  <c r="AW129" i="4" s="1"/>
  <c r="AW130" i="4" s="1"/>
  <c r="S6" i="4"/>
  <c r="S7" i="4" s="1"/>
  <c r="S8" i="4" s="1"/>
  <c r="S9" i="4" s="1"/>
  <c r="S10" i="4" s="1"/>
  <c r="S11" i="4" s="1"/>
  <c r="S12" i="4" s="1"/>
  <c r="S13" i="4" s="1"/>
  <c r="S14" i="4" s="1"/>
  <c r="S15" i="4" s="1"/>
  <c r="S16" i="4" s="1"/>
  <c r="S17" i="4" s="1"/>
  <c r="S18" i="4" s="1"/>
  <c r="S19" i="4" s="1"/>
  <c r="S20" i="4" s="1"/>
  <c r="S21" i="4" s="1"/>
  <c r="S22" i="4" s="1"/>
  <c r="S23" i="4" s="1"/>
  <c r="S24" i="4" s="1"/>
  <c r="S25" i="4" s="1"/>
  <c r="S26" i="4" s="1"/>
  <c r="S27" i="4" s="1"/>
  <c r="S28" i="4" s="1"/>
  <c r="S29" i="4" s="1"/>
  <c r="S30" i="4" s="1"/>
  <c r="S31" i="4" s="1"/>
  <c r="S32" i="4" s="1"/>
  <c r="S33" i="4" s="1"/>
  <c r="S34" i="4" s="1"/>
  <c r="S35" i="4" s="1"/>
  <c r="S36" i="4" s="1"/>
  <c r="S37" i="4" s="1"/>
  <c r="S38" i="4" s="1"/>
  <c r="S39" i="4" s="1"/>
  <c r="S40" i="4" s="1"/>
  <c r="S41" i="4" s="1"/>
  <c r="S42" i="4" s="1"/>
  <c r="S43" i="4" s="1"/>
  <c r="S44" i="4" s="1"/>
  <c r="S45" i="4" s="1"/>
  <c r="S46" i="4" s="1"/>
  <c r="S47" i="4" s="1"/>
  <c r="S48" i="4" s="1"/>
  <c r="S49" i="4" s="1"/>
  <c r="S50" i="4" s="1"/>
  <c r="S51" i="4" s="1"/>
  <c r="S52" i="4" s="1"/>
  <c r="S53" i="4" s="1"/>
  <c r="S54" i="4" s="1"/>
  <c r="S55" i="4" s="1"/>
  <c r="S56" i="4" s="1"/>
  <c r="S57" i="4" s="1"/>
  <c r="S58" i="4" s="1"/>
  <c r="S59" i="4" s="1"/>
  <c r="S60" i="4" s="1"/>
  <c r="S61" i="4" s="1"/>
  <c r="S62" i="4" s="1"/>
  <c r="S63" i="4" s="1"/>
  <c r="S64" i="4" s="1"/>
  <c r="S65" i="4" s="1"/>
  <c r="S66" i="4" s="1"/>
  <c r="S67" i="4" s="1"/>
  <c r="S68" i="4" s="1"/>
  <c r="S69" i="4" s="1"/>
  <c r="S70" i="4" s="1"/>
  <c r="S71" i="4" s="1"/>
  <c r="S72" i="4" s="1"/>
  <c r="S73" i="4" s="1"/>
  <c r="S74" i="4" s="1"/>
  <c r="S75" i="4" s="1"/>
  <c r="S76" i="4" s="1"/>
  <c r="S77" i="4" s="1"/>
  <c r="S78" i="4" s="1"/>
  <c r="S79" i="4" s="1"/>
  <c r="S80" i="4" s="1"/>
  <c r="S81" i="4" s="1"/>
  <c r="S82" i="4" s="1"/>
  <c r="S83" i="4" s="1"/>
  <c r="S84" i="4" s="1"/>
  <c r="S85" i="4" s="1"/>
  <c r="S86" i="4" s="1"/>
  <c r="S87" i="4" s="1"/>
  <c r="S88" i="4" s="1"/>
  <c r="S89" i="4" s="1"/>
  <c r="S90" i="4" s="1"/>
  <c r="S91" i="4" s="1"/>
  <c r="S92" i="4" s="1"/>
  <c r="S93" i="4" s="1"/>
  <c r="S94" i="4" s="1"/>
  <c r="S95" i="4" s="1"/>
  <c r="S96" i="4" s="1"/>
  <c r="S97" i="4" s="1"/>
  <c r="S98" i="4" s="1"/>
  <c r="S99" i="4" s="1"/>
  <c r="S100" i="4" s="1"/>
  <c r="S101" i="4" s="1"/>
  <c r="S102" i="4" s="1"/>
  <c r="S103" i="4" s="1"/>
  <c r="S104" i="4" s="1"/>
  <c r="S105" i="4" s="1"/>
  <c r="S106" i="4" s="1"/>
  <c r="S107" i="4" s="1"/>
  <c r="S108" i="4" s="1"/>
  <c r="S109" i="4" s="1"/>
  <c r="S110" i="4" s="1"/>
  <c r="S111" i="4" s="1"/>
  <c r="S112" i="4" s="1"/>
  <c r="S113" i="4" s="1"/>
  <c r="S114" i="4" s="1"/>
  <c r="S115" i="4" s="1"/>
  <c r="S116" i="4" s="1"/>
  <c r="S117" i="4" s="1"/>
  <c r="S118" i="4" s="1"/>
  <c r="S119" i="4" s="1"/>
  <c r="S120" i="4" s="1"/>
  <c r="S121" i="4" s="1"/>
  <c r="S122" i="4" s="1"/>
  <c r="S123" i="4" s="1"/>
  <c r="S124" i="4" s="1"/>
  <c r="S125" i="4" s="1"/>
  <c r="S126" i="4" s="1"/>
  <c r="S127" i="4" s="1"/>
  <c r="S128" i="4" s="1"/>
  <c r="S129" i="4" s="1"/>
  <c r="S130" i="4" s="1"/>
  <c r="AE6" i="4"/>
  <c r="AE7" i="4" s="1"/>
  <c r="AE8" i="4" s="1"/>
  <c r="AE9" i="4" s="1"/>
  <c r="AE10" i="4" s="1"/>
  <c r="AE11" i="4" s="1"/>
  <c r="AE12" i="4" s="1"/>
  <c r="AE13" i="4" s="1"/>
  <c r="AE14" i="4" s="1"/>
  <c r="AE15" i="4" s="1"/>
  <c r="AE16" i="4" s="1"/>
  <c r="AE17" i="4" s="1"/>
  <c r="AE18" i="4" s="1"/>
  <c r="AE19" i="4" s="1"/>
  <c r="AE20" i="4" s="1"/>
  <c r="AE21" i="4" s="1"/>
  <c r="AE22" i="4" s="1"/>
  <c r="AE23" i="4" s="1"/>
  <c r="AE24" i="4" s="1"/>
  <c r="AE25" i="4" s="1"/>
  <c r="AE26" i="4" s="1"/>
  <c r="AE27" i="4" s="1"/>
  <c r="AE28" i="4" s="1"/>
  <c r="AE29" i="4" s="1"/>
  <c r="AE30" i="4" s="1"/>
  <c r="AE31" i="4" s="1"/>
  <c r="AE32" i="4" s="1"/>
  <c r="AE33" i="4" s="1"/>
  <c r="AE34" i="4" s="1"/>
  <c r="AE35" i="4" s="1"/>
  <c r="AE36" i="4" s="1"/>
  <c r="AE37" i="4" s="1"/>
  <c r="AE38" i="4" s="1"/>
  <c r="AE39" i="4" s="1"/>
  <c r="AE40" i="4" s="1"/>
  <c r="AE41" i="4" s="1"/>
  <c r="AE42" i="4" s="1"/>
  <c r="AE43" i="4" s="1"/>
  <c r="AE44" i="4" s="1"/>
  <c r="AE45" i="4" s="1"/>
  <c r="AE46" i="4" s="1"/>
  <c r="AE47" i="4" s="1"/>
  <c r="AE48" i="4" s="1"/>
  <c r="AE49" i="4" s="1"/>
  <c r="AE50" i="4" s="1"/>
  <c r="AE51" i="4" s="1"/>
  <c r="AE52" i="4" s="1"/>
  <c r="AE53" i="4" s="1"/>
  <c r="AE54" i="4" s="1"/>
  <c r="AE55" i="4" s="1"/>
  <c r="AE56" i="4" s="1"/>
  <c r="AE57" i="4" s="1"/>
  <c r="AE58" i="4" s="1"/>
  <c r="AE59" i="4" s="1"/>
  <c r="AE60" i="4" s="1"/>
  <c r="AE61" i="4" s="1"/>
  <c r="AE62" i="4" s="1"/>
  <c r="AE63" i="4" s="1"/>
  <c r="AE64" i="4" s="1"/>
  <c r="AE65" i="4" s="1"/>
  <c r="AE66" i="4" s="1"/>
  <c r="AE67" i="4" s="1"/>
  <c r="AE68" i="4" s="1"/>
  <c r="AE69" i="4" s="1"/>
  <c r="AE70" i="4" s="1"/>
  <c r="AE71" i="4" s="1"/>
  <c r="AE72" i="4" s="1"/>
  <c r="AE73" i="4" s="1"/>
  <c r="AE74" i="4" s="1"/>
  <c r="AE75" i="4" s="1"/>
  <c r="AE76" i="4" s="1"/>
  <c r="AE77" i="4" s="1"/>
  <c r="AE78" i="4" s="1"/>
  <c r="AE79" i="4" s="1"/>
  <c r="AE80" i="4" s="1"/>
  <c r="AE81" i="4" s="1"/>
  <c r="AE82" i="4" s="1"/>
  <c r="AE83" i="4" s="1"/>
  <c r="AE84" i="4" s="1"/>
  <c r="AE85" i="4" s="1"/>
  <c r="AE86" i="4" s="1"/>
  <c r="AE87" i="4" s="1"/>
  <c r="AE88" i="4" s="1"/>
  <c r="AE89" i="4" s="1"/>
  <c r="AE90" i="4" s="1"/>
  <c r="AE91" i="4" s="1"/>
  <c r="AE92" i="4" s="1"/>
  <c r="AE93" i="4" s="1"/>
  <c r="AE94" i="4" s="1"/>
  <c r="AE95" i="4" s="1"/>
  <c r="AE96" i="4" s="1"/>
  <c r="AE97" i="4" s="1"/>
  <c r="AE98" i="4" s="1"/>
  <c r="AE99" i="4" s="1"/>
  <c r="AE100" i="4" s="1"/>
  <c r="AE101" i="4" s="1"/>
  <c r="AE102" i="4" s="1"/>
  <c r="AE103" i="4" s="1"/>
  <c r="AE104" i="4" s="1"/>
  <c r="AE105" i="4" s="1"/>
  <c r="AE106" i="4" s="1"/>
  <c r="AE107" i="4" s="1"/>
  <c r="AE108" i="4" s="1"/>
  <c r="AE109" i="4" s="1"/>
  <c r="AE110" i="4" s="1"/>
  <c r="AE111" i="4" s="1"/>
  <c r="AE112" i="4" s="1"/>
  <c r="AE113" i="4" s="1"/>
  <c r="AE114" i="4" s="1"/>
  <c r="AE115" i="4" s="1"/>
  <c r="AE116" i="4" s="1"/>
  <c r="AE117" i="4" s="1"/>
  <c r="AE118" i="4" s="1"/>
  <c r="AE119" i="4" s="1"/>
  <c r="AE120" i="4" s="1"/>
  <c r="AE121" i="4" s="1"/>
  <c r="AE122" i="4" s="1"/>
  <c r="AE123" i="4" s="1"/>
  <c r="AE124" i="4" s="1"/>
  <c r="AE125" i="4" s="1"/>
  <c r="AE126" i="4" s="1"/>
  <c r="AE127" i="4" s="1"/>
  <c r="AE128" i="4" s="1"/>
  <c r="AE129" i="4" s="1"/>
  <c r="AE130" i="4" s="1"/>
  <c r="AQ6" i="4"/>
  <c r="AQ7" i="4" s="1"/>
  <c r="AQ8" i="4" s="1"/>
  <c r="AQ9" i="4" s="1"/>
  <c r="AQ10" i="4" s="1"/>
  <c r="AQ11" i="4" s="1"/>
  <c r="AQ12" i="4" s="1"/>
  <c r="AQ13" i="4" s="1"/>
  <c r="AQ14" i="4" s="1"/>
  <c r="AQ15" i="4" s="1"/>
  <c r="AQ16" i="4" s="1"/>
  <c r="AQ17" i="4" s="1"/>
  <c r="AQ18" i="4" s="1"/>
  <c r="AQ19" i="4" s="1"/>
  <c r="AQ20" i="4" s="1"/>
  <c r="AQ21" i="4" s="1"/>
  <c r="AQ22" i="4" s="1"/>
  <c r="AQ23" i="4" s="1"/>
  <c r="AQ24" i="4" s="1"/>
  <c r="AQ25" i="4" s="1"/>
  <c r="AQ26" i="4" s="1"/>
  <c r="AQ27" i="4" s="1"/>
  <c r="AQ28" i="4" s="1"/>
  <c r="AQ29" i="4" s="1"/>
  <c r="AQ30" i="4" s="1"/>
  <c r="AQ31" i="4" s="1"/>
  <c r="AQ32" i="4" s="1"/>
  <c r="AQ33" i="4" s="1"/>
  <c r="AQ34" i="4" s="1"/>
  <c r="AQ35" i="4" s="1"/>
  <c r="AQ36" i="4" s="1"/>
  <c r="AQ37" i="4" s="1"/>
  <c r="AQ38" i="4" s="1"/>
  <c r="AQ39" i="4" s="1"/>
  <c r="AQ40" i="4" s="1"/>
  <c r="AQ41" i="4" s="1"/>
  <c r="AQ42" i="4" s="1"/>
  <c r="AQ43" i="4" s="1"/>
  <c r="AQ44" i="4" s="1"/>
  <c r="AQ45" i="4" s="1"/>
  <c r="AQ46" i="4" s="1"/>
  <c r="AQ47" i="4" s="1"/>
  <c r="AQ48" i="4" s="1"/>
  <c r="AQ49" i="4" s="1"/>
  <c r="AQ50" i="4" s="1"/>
  <c r="AQ51" i="4" s="1"/>
  <c r="AQ52" i="4" s="1"/>
  <c r="AQ53" i="4" s="1"/>
  <c r="AQ54" i="4" s="1"/>
  <c r="AQ55" i="4" s="1"/>
  <c r="AQ56" i="4" s="1"/>
  <c r="AQ57" i="4" s="1"/>
  <c r="AQ58" i="4" s="1"/>
  <c r="AQ59" i="4" s="1"/>
  <c r="AQ60" i="4" s="1"/>
  <c r="AQ61" i="4" s="1"/>
  <c r="AQ62" i="4" s="1"/>
  <c r="AQ63" i="4" s="1"/>
  <c r="AQ64" i="4" s="1"/>
  <c r="AQ65" i="4" s="1"/>
  <c r="AQ66" i="4" s="1"/>
  <c r="AQ67" i="4" s="1"/>
  <c r="AQ68" i="4" s="1"/>
  <c r="AQ69" i="4" s="1"/>
  <c r="AQ70" i="4" s="1"/>
  <c r="AQ71" i="4" s="1"/>
  <c r="AQ72" i="4" s="1"/>
  <c r="AQ73" i="4" s="1"/>
  <c r="AQ74" i="4" s="1"/>
  <c r="AQ75" i="4" s="1"/>
  <c r="AQ76" i="4" s="1"/>
  <c r="AQ77" i="4" s="1"/>
  <c r="AQ78" i="4" s="1"/>
  <c r="AQ79" i="4" s="1"/>
  <c r="AQ80" i="4" s="1"/>
  <c r="AQ81" i="4" s="1"/>
  <c r="AQ82" i="4" s="1"/>
  <c r="AQ83" i="4" s="1"/>
  <c r="AQ84" i="4" s="1"/>
  <c r="AQ85" i="4" s="1"/>
  <c r="AQ86" i="4" s="1"/>
  <c r="AQ87" i="4" s="1"/>
  <c r="AQ88" i="4" s="1"/>
  <c r="AQ89" i="4" s="1"/>
  <c r="AQ90" i="4" s="1"/>
  <c r="AQ91" i="4" s="1"/>
  <c r="AQ92" i="4" s="1"/>
  <c r="AQ93" i="4" s="1"/>
  <c r="AQ94" i="4" s="1"/>
  <c r="AQ95" i="4" s="1"/>
  <c r="AQ96" i="4" s="1"/>
  <c r="AQ97" i="4" s="1"/>
  <c r="AQ98" i="4" s="1"/>
  <c r="AQ99" i="4" s="1"/>
  <c r="AQ100" i="4" s="1"/>
  <c r="AQ101" i="4" s="1"/>
  <c r="AQ102" i="4" s="1"/>
  <c r="AQ103" i="4" s="1"/>
  <c r="AQ104" i="4" s="1"/>
  <c r="AQ105" i="4" s="1"/>
  <c r="AQ106" i="4" s="1"/>
  <c r="AQ107" i="4" s="1"/>
  <c r="AQ108" i="4" s="1"/>
  <c r="AQ109" i="4" s="1"/>
  <c r="AQ110" i="4" s="1"/>
  <c r="AQ111" i="4" s="1"/>
  <c r="AQ112" i="4" s="1"/>
  <c r="AQ113" i="4" s="1"/>
  <c r="AQ114" i="4" s="1"/>
  <c r="AQ115" i="4" s="1"/>
  <c r="AQ116" i="4" s="1"/>
  <c r="AQ117" i="4" s="1"/>
  <c r="AQ118" i="4" s="1"/>
  <c r="AQ119" i="4" s="1"/>
  <c r="AQ120" i="4" s="1"/>
  <c r="AQ121" i="4" s="1"/>
  <c r="AQ122" i="4" s="1"/>
  <c r="AQ123" i="4" s="1"/>
  <c r="AQ124" i="4" s="1"/>
  <c r="AQ125" i="4" s="1"/>
  <c r="AQ126" i="4" s="1"/>
  <c r="AQ127" i="4" s="1"/>
  <c r="AQ128" i="4" s="1"/>
  <c r="AQ129" i="4" s="1"/>
  <c r="AQ130" i="4" s="1"/>
  <c r="T6" i="4"/>
  <c r="T7" i="4" s="1"/>
  <c r="T8" i="4" s="1"/>
  <c r="T9" i="4" s="1"/>
  <c r="T10" i="4" s="1"/>
  <c r="T11" i="4" s="1"/>
  <c r="T12" i="4" s="1"/>
  <c r="T13" i="4" s="1"/>
  <c r="T14" i="4" s="1"/>
  <c r="T15" i="4" s="1"/>
  <c r="T16" i="4" s="1"/>
  <c r="T17" i="4" s="1"/>
  <c r="T18" i="4" s="1"/>
  <c r="T19" i="4" s="1"/>
  <c r="T20" i="4" s="1"/>
  <c r="T21" i="4" s="1"/>
  <c r="T22" i="4" s="1"/>
  <c r="T23" i="4" s="1"/>
  <c r="T24" i="4" s="1"/>
  <c r="T25" i="4" s="1"/>
  <c r="T26" i="4" s="1"/>
  <c r="T27" i="4" s="1"/>
  <c r="T28" i="4" s="1"/>
  <c r="T29" i="4" s="1"/>
  <c r="T30" i="4" s="1"/>
  <c r="T31" i="4" s="1"/>
  <c r="T32" i="4" s="1"/>
  <c r="T33" i="4" s="1"/>
  <c r="T34" i="4" s="1"/>
  <c r="T35" i="4" s="1"/>
  <c r="T36" i="4" s="1"/>
  <c r="T37" i="4" s="1"/>
  <c r="T38" i="4" s="1"/>
  <c r="T39" i="4" s="1"/>
  <c r="T40" i="4" s="1"/>
  <c r="T41" i="4" s="1"/>
  <c r="T42" i="4" s="1"/>
  <c r="T43" i="4" s="1"/>
  <c r="T44" i="4" s="1"/>
  <c r="T45" i="4" s="1"/>
  <c r="T46" i="4" s="1"/>
  <c r="T47" i="4" s="1"/>
  <c r="T48" i="4" s="1"/>
  <c r="T49" i="4" s="1"/>
  <c r="T50" i="4" s="1"/>
  <c r="T51" i="4" s="1"/>
  <c r="T52" i="4" s="1"/>
  <c r="T53" i="4" s="1"/>
  <c r="T54" i="4" s="1"/>
  <c r="T55" i="4" s="1"/>
  <c r="T56" i="4" s="1"/>
  <c r="T57" i="4" s="1"/>
  <c r="T58" i="4" s="1"/>
  <c r="T59" i="4" s="1"/>
  <c r="T60" i="4" s="1"/>
  <c r="T61" i="4" s="1"/>
  <c r="T62" i="4" s="1"/>
  <c r="T63" i="4" s="1"/>
  <c r="T64" i="4" s="1"/>
  <c r="T65" i="4" s="1"/>
  <c r="T66" i="4" s="1"/>
  <c r="T67" i="4" s="1"/>
  <c r="T68" i="4" s="1"/>
  <c r="T69" i="4" s="1"/>
  <c r="T70" i="4" s="1"/>
  <c r="T71" i="4" s="1"/>
  <c r="T72" i="4" s="1"/>
  <c r="T73" i="4" s="1"/>
  <c r="T74" i="4" s="1"/>
  <c r="T75" i="4" s="1"/>
  <c r="T76" i="4" s="1"/>
  <c r="T77" i="4" s="1"/>
  <c r="T78" i="4" s="1"/>
  <c r="T79" i="4" s="1"/>
  <c r="T80" i="4" s="1"/>
  <c r="T81" i="4" s="1"/>
  <c r="T82" i="4" s="1"/>
  <c r="T83" i="4" s="1"/>
  <c r="T84" i="4" s="1"/>
  <c r="T85" i="4" s="1"/>
  <c r="T86" i="4" s="1"/>
  <c r="T87" i="4" s="1"/>
  <c r="T88" i="4" s="1"/>
  <c r="T89" i="4" s="1"/>
  <c r="T90" i="4" s="1"/>
  <c r="T91" i="4" s="1"/>
  <c r="T92" i="4" s="1"/>
  <c r="T93" i="4" s="1"/>
  <c r="T94" i="4" s="1"/>
  <c r="T95" i="4" s="1"/>
  <c r="T96" i="4" s="1"/>
  <c r="T97" i="4" s="1"/>
  <c r="T98" i="4" s="1"/>
  <c r="T99" i="4" s="1"/>
  <c r="T100" i="4" s="1"/>
  <c r="T101" i="4" s="1"/>
  <c r="T102" i="4" s="1"/>
  <c r="T103" i="4" s="1"/>
  <c r="T104" i="4" s="1"/>
  <c r="T105" i="4" s="1"/>
  <c r="T106" i="4" s="1"/>
  <c r="T107" i="4" s="1"/>
  <c r="T108" i="4" s="1"/>
  <c r="T109" i="4" s="1"/>
  <c r="T110" i="4" s="1"/>
  <c r="T111" i="4" s="1"/>
  <c r="T112" i="4" s="1"/>
  <c r="T113" i="4" s="1"/>
  <c r="T114" i="4" s="1"/>
  <c r="T115" i="4" s="1"/>
  <c r="T116" i="4" s="1"/>
  <c r="T117" i="4" s="1"/>
  <c r="T118" i="4" s="1"/>
  <c r="T119" i="4" s="1"/>
  <c r="T120" i="4" s="1"/>
  <c r="T121" i="4" s="1"/>
  <c r="T122" i="4" s="1"/>
  <c r="T123" i="4" s="1"/>
  <c r="T124" i="4" s="1"/>
  <c r="T125" i="4" s="1"/>
  <c r="T126" i="4" s="1"/>
  <c r="T127" i="4" s="1"/>
  <c r="T128" i="4" s="1"/>
  <c r="T129" i="4" s="1"/>
  <c r="T130" i="4" s="1"/>
  <c r="AF6" i="4"/>
  <c r="AF7" i="4" s="1"/>
  <c r="AF8" i="4" s="1"/>
  <c r="AF9" i="4" s="1"/>
  <c r="AF10" i="4" s="1"/>
  <c r="AF11" i="4" s="1"/>
  <c r="AF12" i="4" s="1"/>
  <c r="AF13" i="4" s="1"/>
  <c r="AF14" i="4" s="1"/>
  <c r="AF15" i="4" s="1"/>
  <c r="AF16" i="4" s="1"/>
  <c r="AF17" i="4" s="1"/>
  <c r="AF18" i="4" s="1"/>
  <c r="AF19" i="4" s="1"/>
  <c r="AF20" i="4" s="1"/>
  <c r="AF21" i="4" s="1"/>
  <c r="AF22" i="4" s="1"/>
  <c r="AF23" i="4" s="1"/>
  <c r="AF24" i="4" s="1"/>
  <c r="AF25" i="4" s="1"/>
  <c r="AF26" i="4" s="1"/>
  <c r="AF27" i="4" s="1"/>
  <c r="AF28" i="4" s="1"/>
  <c r="AF29" i="4" s="1"/>
  <c r="AF30" i="4" s="1"/>
  <c r="AF31" i="4" s="1"/>
  <c r="AF32" i="4" s="1"/>
  <c r="AF33" i="4" s="1"/>
  <c r="AF34" i="4" s="1"/>
  <c r="AF35" i="4" s="1"/>
  <c r="AF36" i="4" s="1"/>
  <c r="AF37" i="4" s="1"/>
  <c r="AF38" i="4" s="1"/>
  <c r="AF39" i="4" s="1"/>
  <c r="AF40" i="4" s="1"/>
  <c r="AF41" i="4" s="1"/>
  <c r="AF42" i="4" s="1"/>
  <c r="AF43" i="4" s="1"/>
  <c r="AF44" i="4" s="1"/>
  <c r="AF45" i="4" s="1"/>
  <c r="AF46" i="4" s="1"/>
  <c r="AF47" i="4" s="1"/>
  <c r="AF48" i="4" s="1"/>
  <c r="AF49" i="4" s="1"/>
  <c r="AF50" i="4" s="1"/>
  <c r="AF51" i="4" s="1"/>
  <c r="AF52" i="4" s="1"/>
  <c r="AF53" i="4" s="1"/>
  <c r="AF54" i="4" s="1"/>
  <c r="AF55" i="4" s="1"/>
  <c r="AF56" i="4" s="1"/>
  <c r="AF57" i="4" s="1"/>
  <c r="AF58" i="4" s="1"/>
  <c r="AF59" i="4" s="1"/>
  <c r="AF60" i="4" s="1"/>
  <c r="AF61" i="4" s="1"/>
  <c r="AF62" i="4" s="1"/>
  <c r="AF63" i="4" s="1"/>
  <c r="AF64" i="4" s="1"/>
  <c r="AF65" i="4" s="1"/>
  <c r="AF66" i="4" s="1"/>
  <c r="AF67" i="4" s="1"/>
  <c r="AF68" i="4" s="1"/>
  <c r="AF69" i="4" s="1"/>
  <c r="AF70" i="4" s="1"/>
  <c r="AF71" i="4" s="1"/>
  <c r="AF72" i="4" s="1"/>
  <c r="AF73" i="4" s="1"/>
  <c r="AF74" i="4" s="1"/>
  <c r="AF75" i="4" s="1"/>
  <c r="AF76" i="4" s="1"/>
  <c r="AF77" i="4" s="1"/>
  <c r="AF78" i="4" s="1"/>
  <c r="AF79" i="4" s="1"/>
  <c r="AF80" i="4" s="1"/>
  <c r="AF81" i="4" s="1"/>
  <c r="AF82" i="4" s="1"/>
  <c r="AF83" i="4" s="1"/>
  <c r="AF84" i="4" s="1"/>
  <c r="AF85" i="4" s="1"/>
  <c r="AF86" i="4" s="1"/>
  <c r="AF87" i="4" s="1"/>
  <c r="AF88" i="4" s="1"/>
  <c r="AF89" i="4" s="1"/>
  <c r="AF90" i="4" s="1"/>
  <c r="AF91" i="4" s="1"/>
  <c r="AF92" i="4" s="1"/>
  <c r="AF93" i="4" s="1"/>
  <c r="AF94" i="4" s="1"/>
  <c r="AF95" i="4" s="1"/>
  <c r="AF96" i="4" s="1"/>
  <c r="AF97" i="4" s="1"/>
  <c r="AF98" i="4" s="1"/>
  <c r="AF99" i="4" s="1"/>
  <c r="AF100" i="4" s="1"/>
  <c r="AF101" i="4" s="1"/>
  <c r="AF102" i="4" s="1"/>
  <c r="AF103" i="4" s="1"/>
  <c r="AF104" i="4" s="1"/>
  <c r="AF105" i="4" s="1"/>
  <c r="AF106" i="4" s="1"/>
  <c r="AF107" i="4" s="1"/>
  <c r="AF108" i="4" s="1"/>
  <c r="AF109" i="4" s="1"/>
  <c r="AF110" i="4" s="1"/>
  <c r="AF111" i="4" s="1"/>
  <c r="AF112" i="4" s="1"/>
  <c r="AF113" i="4" s="1"/>
  <c r="AF114" i="4" s="1"/>
  <c r="AF115" i="4" s="1"/>
  <c r="AF116" i="4" s="1"/>
  <c r="AF117" i="4" s="1"/>
  <c r="AF118" i="4" s="1"/>
  <c r="AF119" i="4" s="1"/>
  <c r="AF120" i="4" s="1"/>
  <c r="AF121" i="4" s="1"/>
  <c r="AF122" i="4" s="1"/>
  <c r="AF123" i="4" s="1"/>
  <c r="AF124" i="4" s="1"/>
  <c r="AF125" i="4" s="1"/>
  <c r="AF126" i="4" s="1"/>
  <c r="AF127" i="4" s="1"/>
  <c r="AF128" i="4" s="1"/>
  <c r="AF129" i="4" s="1"/>
  <c r="AF130" i="4" s="1"/>
  <c r="AR6" i="4"/>
  <c r="AR7" i="4" s="1"/>
  <c r="AR8" i="4" s="1"/>
  <c r="AR9" i="4" s="1"/>
  <c r="AR10" i="4" s="1"/>
  <c r="AR11" i="4" s="1"/>
  <c r="AR12" i="4" s="1"/>
  <c r="AR13" i="4" s="1"/>
  <c r="AR14" i="4" s="1"/>
  <c r="AR15" i="4" s="1"/>
  <c r="AR16" i="4" s="1"/>
  <c r="AR17" i="4" s="1"/>
  <c r="AR18" i="4" s="1"/>
  <c r="AR19" i="4" s="1"/>
  <c r="AR20" i="4" s="1"/>
  <c r="AR21" i="4" s="1"/>
  <c r="AR22" i="4" s="1"/>
  <c r="AR23" i="4" s="1"/>
  <c r="AR24" i="4" s="1"/>
  <c r="AR25" i="4" s="1"/>
  <c r="AR26" i="4" s="1"/>
  <c r="AR27" i="4" s="1"/>
  <c r="AR28" i="4" s="1"/>
  <c r="AR29" i="4" s="1"/>
  <c r="AR30" i="4" s="1"/>
  <c r="AR31" i="4" s="1"/>
  <c r="AR32" i="4" s="1"/>
  <c r="AR33" i="4" s="1"/>
  <c r="AR34" i="4" s="1"/>
  <c r="AR35" i="4" s="1"/>
  <c r="AR36" i="4" s="1"/>
  <c r="AR37" i="4" s="1"/>
  <c r="AR38" i="4" s="1"/>
  <c r="AR39" i="4" s="1"/>
  <c r="AR40" i="4" s="1"/>
  <c r="AR41" i="4" s="1"/>
  <c r="AR42" i="4" s="1"/>
  <c r="AR43" i="4" s="1"/>
  <c r="AR44" i="4" s="1"/>
  <c r="AR45" i="4" s="1"/>
  <c r="AR46" i="4" s="1"/>
  <c r="AR47" i="4" s="1"/>
  <c r="AR48" i="4" s="1"/>
  <c r="AR49" i="4" s="1"/>
  <c r="AR50" i="4" s="1"/>
  <c r="AR51" i="4" s="1"/>
  <c r="AR52" i="4" s="1"/>
  <c r="AR53" i="4" s="1"/>
  <c r="AR54" i="4" s="1"/>
  <c r="AR55" i="4" s="1"/>
  <c r="AR56" i="4" s="1"/>
  <c r="AR57" i="4" s="1"/>
  <c r="AR58" i="4" s="1"/>
  <c r="AR59" i="4" s="1"/>
  <c r="AR60" i="4" s="1"/>
  <c r="AR61" i="4" s="1"/>
  <c r="AR62" i="4" s="1"/>
  <c r="AR63" i="4" s="1"/>
  <c r="AR64" i="4" s="1"/>
  <c r="AR65" i="4" s="1"/>
  <c r="AR66" i="4" s="1"/>
  <c r="AR67" i="4" s="1"/>
  <c r="AR68" i="4" s="1"/>
  <c r="AR69" i="4" s="1"/>
  <c r="AR70" i="4" s="1"/>
  <c r="AR71" i="4" s="1"/>
  <c r="AR72" i="4" s="1"/>
  <c r="AR73" i="4" s="1"/>
  <c r="AR74" i="4" s="1"/>
  <c r="AR75" i="4" s="1"/>
  <c r="AR76" i="4" s="1"/>
  <c r="AR77" i="4" s="1"/>
  <c r="AR78" i="4" s="1"/>
  <c r="AR79" i="4" s="1"/>
  <c r="AR80" i="4" s="1"/>
  <c r="AR81" i="4" s="1"/>
  <c r="AR82" i="4" s="1"/>
  <c r="AR83" i="4" s="1"/>
  <c r="AR84" i="4" s="1"/>
  <c r="AR85" i="4" s="1"/>
  <c r="AR86" i="4" s="1"/>
  <c r="AR87" i="4" s="1"/>
  <c r="AR88" i="4" s="1"/>
  <c r="AR89" i="4" s="1"/>
  <c r="AR90" i="4" s="1"/>
  <c r="AR91" i="4" s="1"/>
  <c r="AR92" i="4" s="1"/>
  <c r="AR93" i="4" s="1"/>
  <c r="AR94" i="4" s="1"/>
  <c r="AR95" i="4" s="1"/>
  <c r="AR96" i="4" s="1"/>
  <c r="AR97" i="4" s="1"/>
  <c r="AR98" i="4" s="1"/>
  <c r="AR99" i="4" s="1"/>
  <c r="AR100" i="4" s="1"/>
  <c r="AR101" i="4" s="1"/>
  <c r="AR102" i="4" s="1"/>
  <c r="AR103" i="4" s="1"/>
  <c r="AR104" i="4" s="1"/>
  <c r="AR105" i="4" s="1"/>
  <c r="AR106" i="4" s="1"/>
  <c r="AR107" i="4" s="1"/>
  <c r="AR108" i="4" s="1"/>
  <c r="AR109" i="4" s="1"/>
  <c r="AR110" i="4" s="1"/>
  <c r="AR111" i="4" s="1"/>
  <c r="AR112" i="4" s="1"/>
  <c r="AR113" i="4" s="1"/>
  <c r="AR114" i="4" s="1"/>
  <c r="AR115" i="4" s="1"/>
  <c r="AR116" i="4" s="1"/>
  <c r="AR117" i="4" s="1"/>
  <c r="AR118" i="4" s="1"/>
  <c r="AR119" i="4" s="1"/>
  <c r="AR120" i="4" s="1"/>
  <c r="AR121" i="4" s="1"/>
  <c r="AR122" i="4" s="1"/>
  <c r="AR123" i="4" s="1"/>
  <c r="AR124" i="4" s="1"/>
  <c r="AR125" i="4" s="1"/>
  <c r="AR126" i="4" s="1"/>
  <c r="AR127" i="4" s="1"/>
  <c r="AR128" i="4" s="1"/>
  <c r="AR129" i="4" s="1"/>
  <c r="AR130" i="4" s="1"/>
  <c r="M7" i="4" l="1"/>
  <c r="M8" i="4" s="1"/>
  <c r="M9" i="4" s="1"/>
  <c r="M10" i="4" s="1"/>
  <c r="M11" i="4" s="1"/>
  <c r="M12" i="4" s="1"/>
  <c r="M13" i="4" s="1"/>
  <c r="M14" i="4" s="1"/>
  <c r="M15" i="4" s="1"/>
  <c r="M16" i="4" s="1"/>
  <c r="M17" i="4" s="1"/>
  <c r="M18" i="4" s="1"/>
  <c r="M19" i="4" s="1"/>
  <c r="M20" i="4" s="1"/>
  <c r="M21" i="4" s="1"/>
  <c r="M22" i="4" s="1"/>
  <c r="M23" i="4" s="1"/>
  <c r="M24" i="4" s="1"/>
  <c r="M25" i="4" s="1"/>
  <c r="M26" i="4" s="1"/>
  <c r="M27" i="4" s="1"/>
  <c r="M28" i="4" s="1"/>
  <c r="M29" i="4" s="1"/>
  <c r="M30" i="4" s="1"/>
  <c r="M31" i="4" s="1"/>
  <c r="M32" i="4" s="1"/>
  <c r="M33" i="4" s="1"/>
  <c r="M34" i="4" s="1"/>
  <c r="M35" i="4" s="1"/>
  <c r="M36" i="4" s="1"/>
  <c r="M37" i="4" s="1"/>
  <c r="M38" i="4" s="1"/>
  <c r="M39" i="4" s="1"/>
  <c r="M40" i="4" s="1"/>
  <c r="M41" i="4" s="1"/>
  <c r="M42" i="4" s="1"/>
  <c r="M43" i="4" s="1"/>
  <c r="M44" i="4" s="1"/>
  <c r="M45" i="4" s="1"/>
  <c r="M46" i="4" s="1"/>
  <c r="M47" i="4" s="1"/>
  <c r="M48" i="4" s="1"/>
  <c r="M49" i="4" s="1"/>
  <c r="M50" i="4" s="1"/>
  <c r="M51" i="4" s="1"/>
  <c r="M52" i="4" s="1"/>
  <c r="M53" i="4" s="1"/>
  <c r="M54" i="4" s="1"/>
  <c r="M55" i="4" s="1"/>
  <c r="M56" i="4" s="1"/>
  <c r="M57" i="4" s="1"/>
  <c r="M58" i="4" s="1"/>
  <c r="M59" i="4" s="1"/>
  <c r="M60" i="4" s="1"/>
  <c r="M61" i="4" s="1"/>
  <c r="M62" i="4" s="1"/>
  <c r="M63" i="4" s="1"/>
  <c r="M64" i="4" s="1"/>
  <c r="M65" i="4" s="1"/>
  <c r="M66" i="4" s="1"/>
  <c r="M67" i="4" s="1"/>
  <c r="M68" i="4" s="1"/>
  <c r="M69" i="4" s="1"/>
  <c r="M70" i="4" s="1"/>
  <c r="M71" i="4" s="1"/>
  <c r="M72" i="4" s="1"/>
  <c r="M73" i="4" s="1"/>
  <c r="M74" i="4" s="1"/>
  <c r="M75" i="4" s="1"/>
  <c r="M76" i="4" s="1"/>
  <c r="M77" i="4" s="1"/>
  <c r="M78" i="4" s="1"/>
  <c r="M79" i="4" s="1"/>
  <c r="M80" i="4" s="1"/>
  <c r="M81" i="4" s="1"/>
  <c r="M82" i="4" s="1"/>
  <c r="M83" i="4" s="1"/>
  <c r="M84" i="4" s="1"/>
  <c r="M85" i="4" s="1"/>
  <c r="M86" i="4" s="1"/>
  <c r="M87" i="4" s="1"/>
  <c r="M88" i="4" s="1"/>
  <c r="M89" i="4" s="1"/>
  <c r="M90" i="4" s="1"/>
  <c r="M91" i="4" s="1"/>
  <c r="M92" i="4" s="1"/>
  <c r="M93" i="4" s="1"/>
  <c r="M94" i="4" s="1"/>
  <c r="M95" i="4" s="1"/>
  <c r="M96" i="4" s="1"/>
  <c r="M97" i="4" s="1"/>
  <c r="M98" i="4" s="1"/>
  <c r="M99" i="4" s="1"/>
  <c r="M100" i="4" s="1"/>
  <c r="M101" i="4" s="1"/>
  <c r="M102" i="4" s="1"/>
  <c r="M103" i="4" s="1"/>
  <c r="M104" i="4" s="1"/>
  <c r="M105" i="4" s="1"/>
  <c r="M106" i="4" s="1"/>
  <c r="M107" i="4" s="1"/>
  <c r="M108" i="4" s="1"/>
  <c r="M109" i="4" s="1"/>
  <c r="M110" i="4" s="1"/>
  <c r="M111" i="4" s="1"/>
  <c r="M112" i="4" s="1"/>
  <c r="M113" i="4" s="1"/>
  <c r="M114" i="4" s="1"/>
  <c r="M115" i="4" s="1"/>
  <c r="M116" i="4" s="1"/>
  <c r="M117" i="4" s="1"/>
  <c r="M118" i="4" s="1"/>
  <c r="M119" i="4" s="1"/>
  <c r="M120" i="4" s="1"/>
  <c r="M121" i="4" s="1"/>
  <c r="M122" i="4" s="1"/>
  <c r="M123" i="4" s="1"/>
  <c r="M124" i="4" s="1"/>
  <c r="M125" i="4" s="1"/>
  <c r="M126" i="4" s="1"/>
  <c r="M127" i="4" s="1"/>
  <c r="M128" i="4" s="1"/>
  <c r="M129" i="4" s="1"/>
  <c r="M130" i="4" s="1"/>
  <c r="J14" i="4" s="1"/>
  <c r="J13" i="4" l="1"/>
  <c r="J12" i="4"/>
  <c r="J11" i="4"/>
  <c r="D15" i="5" s="1"/>
  <c r="D257" i="2" l="1"/>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F5" i="1"/>
  <c r="J5" i="2" l="1"/>
  <c r="J6" i="2" s="1"/>
  <c r="J7" i="2" s="1"/>
  <c r="J8" i="2" s="1"/>
  <c r="J10" i="2" s="1"/>
  <c r="J9" i="2" l="1"/>
  <c r="J12" i="2" s="1"/>
</calcChain>
</file>

<file path=xl/sharedStrings.xml><?xml version="1.0" encoding="utf-8"?>
<sst xmlns="http://schemas.openxmlformats.org/spreadsheetml/2006/main" count="326" uniqueCount="285">
  <si>
    <t>Risk-free rate (r)</t>
  </si>
  <si>
    <t>Storage Cost (d)</t>
  </si>
  <si>
    <t>Time to maturity (T)</t>
  </si>
  <si>
    <t>Date</t>
  </si>
  <si>
    <t>Close</t>
  </si>
  <si>
    <t>Inputs</t>
  </si>
  <si>
    <r>
      <t>Strike Price (X</t>
    </r>
    <r>
      <rPr>
        <vertAlign val="subscript"/>
        <sz val="11"/>
        <color theme="1"/>
        <rFont val="Calibri"/>
        <family val="2"/>
      </rPr>
      <t>t)</t>
    </r>
  </si>
  <si>
    <t>Volatility</t>
  </si>
  <si>
    <t>Annualize Volatility</t>
  </si>
  <si>
    <r>
      <t>d</t>
    </r>
    <r>
      <rPr>
        <i/>
        <vertAlign val="subscript"/>
        <sz val="11"/>
        <color theme="1"/>
        <rFont val="Calibri"/>
        <family val="2"/>
      </rPr>
      <t>1</t>
    </r>
  </si>
  <si>
    <r>
      <t>d</t>
    </r>
    <r>
      <rPr>
        <i/>
        <vertAlign val="subscript"/>
        <sz val="11"/>
        <color theme="1"/>
        <rFont val="Calibri"/>
        <family val="2"/>
      </rPr>
      <t>2</t>
    </r>
  </si>
  <si>
    <r>
      <t>N(d</t>
    </r>
    <r>
      <rPr>
        <vertAlign val="subscript"/>
        <sz val="11"/>
        <color theme="1"/>
        <rFont val="Calibri"/>
        <family val="2"/>
      </rPr>
      <t>1</t>
    </r>
    <r>
      <rPr>
        <sz val="11"/>
        <color theme="1"/>
        <rFont val="Calibri"/>
        <family val="2"/>
      </rPr>
      <t>)</t>
    </r>
  </si>
  <si>
    <r>
      <t>N(d</t>
    </r>
    <r>
      <rPr>
        <vertAlign val="subscript"/>
        <sz val="11"/>
        <color theme="1"/>
        <rFont val="Calibri"/>
        <family val="2"/>
      </rPr>
      <t>2</t>
    </r>
    <r>
      <rPr>
        <sz val="11"/>
        <color theme="1"/>
        <rFont val="Calibri"/>
        <family val="2"/>
      </rPr>
      <t>)</t>
    </r>
  </si>
  <si>
    <t>Key Measure</t>
  </si>
  <si>
    <t>Call Price (C)</t>
  </si>
  <si>
    <r>
      <t>Spot Price (S</t>
    </r>
    <r>
      <rPr>
        <vertAlign val="subscript"/>
        <sz val="11"/>
        <color theme="1"/>
        <rFont val="Calibri"/>
        <family val="2"/>
      </rPr>
      <t>0</t>
    </r>
    <r>
      <rPr>
        <sz val="11"/>
        <color theme="1"/>
        <rFont val="Calibri"/>
        <family val="2"/>
      </rPr>
      <t>)</t>
    </r>
  </si>
  <si>
    <t>Log Returns</t>
  </si>
  <si>
    <t>Why Price a Coffee Call Option?</t>
  </si>
  <si>
    <r>
      <t xml:space="preserve">This model evaluates a European call option on </t>
    </r>
    <r>
      <rPr>
        <b/>
        <sz val="11"/>
        <color theme="1"/>
        <rFont val="Calibri"/>
        <family val="2"/>
      </rPr>
      <t>Coffee C® futures</t>
    </r>
    <r>
      <rPr>
        <sz val="11"/>
        <color theme="1"/>
        <rFont val="Calibri"/>
        <family val="2"/>
      </rPr>
      <t>, a global benchmark for Arabica coffee. By analyzing current spot prices ($2.94) against a target strike price ($2.95), we gain a sophisticated understanding of how time value and market volatility drive the "premium" of a commodity contract. In a high-volatility environment (39.29%), this option serves as a critical hedging tool against potential supply shocks or weather-driven price spikes.</t>
    </r>
  </si>
  <si>
    <t>Analyzing the Fair Value of Coffee C® Futures: A Cost of Carry Framework</t>
  </si>
  <si>
    <t>Why Calculate the Coffee Futures Price?</t>
  </si>
  <si>
    <r>
      <t xml:space="preserve">This model determines the </t>
    </r>
    <r>
      <rPr>
        <b/>
        <sz val="11"/>
        <color theme="1"/>
        <rFont val="Calibri"/>
        <family val="2"/>
      </rPr>
      <t>"fair value"</t>
    </r>
    <r>
      <rPr>
        <sz val="11"/>
        <color theme="1"/>
        <rFont val="Calibri"/>
        <family val="2"/>
      </rPr>
      <t xml:space="preserve"> of a coffee contract for delivery in six months. By evaluating the current spot price ($2.94) against the costs of "carrying" the physical commodity-specifically the </t>
    </r>
    <r>
      <rPr>
        <b/>
        <sz val="11"/>
        <color theme="1"/>
        <rFont val="Calibri"/>
        <family val="2"/>
      </rPr>
      <t>risk-free interest rate</t>
    </r>
    <r>
      <rPr>
        <sz val="11"/>
        <color theme="1"/>
        <rFont val="Calibri"/>
        <family val="2"/>
      </rPr>
      <t xml:space="preserve"> and </t>
    </r>
    <r>
      <rPr>
        <b/>
        <sz val="11"/>
        <color theme="1"/>
        <rFont val="Calibri"/>
        <family val="2"/>
      </rPr>
      <t>storage expenses-</t>
    </r>
    <r>
      <rPr>
        <sz val="11"/>
        <color theme="1"/>
        <rFont val="Calibri"/>
        <family val="2"/>
      </rPr>
      <t>we can determine if the market's future price is justified by physical reality. This helps traders decide whether it is more cost-effective to buy coffee today and store it, or simply buy a futures contract for later delivery.</t>
    </r>
  </si>
  <si>
    <t>Futures Valuation Overview</t>
  </si>
  <si>
    <t>Storage Cost (d):</t>
  </si>
  <si>
    <t>Risk-Free Rate (r):</t>
  </si>
  <si>
    <r>
      <t>Spot Price (S</t>
    </r>
    <r>
      <rPr>
        <vertAlign val="subscript"/>
        <sz val="11"/>
        <color theme="1"/>
        <rFont val="Calibri"/>
        <family val="2"/>
      </rPr>
      <t>0</t>
    </r>
    <r>
      <rPr>
        <sz val="11"/>
        <color theme="1"/>
        <rFont val="Calibri"/>
        <family val="2"/>
      </rPr>
      <t>)</t>
    </r>
    <r>
      <rPr>
        <sz val="11"/>
        <color theme="1"/>
        <rFont val="Calibri"/>
        <family val="2"/>
      </rPr>
      <t>:</t>
    </r>
  </si>
  <si>
    <t>Time to Maturity (T):</t>
  </si>
  <si>
    <t>Why Calculating the Carry Components is Important?</t>
  </si>
  <si>
    <r>
      <t>1. The Cost of Financing (</t>
    </r>
    <r>
      <rPr>
        <b/>
        <sz val="11"/>
        <color theme="1"/>
        <rFont val="Arial"/>
        <family val="2"/>
      </rPr>
      <t>r = 3.58%</t>
    </r>
    <r>
      <rPr>
        <b/>
        <sz val="11"/>
        <color theme="1"/>
        <rFont val="Calibri"/>
        <family val="2"/>
      </rPr>
      <t>)</t>
    </r>
  </si>
  <si>
    <r>
      <rPr>
        <b/>
        <sz val="11"/>
        <color theme="1"/>
        <rFont val="Calibri"/>
        <family val="2"/>
      </rPr>
      <t>Interpretation:</t>
    </r>
    <r>
      <rPr>
        <sz val="11"/>
        <color theme="1"/>
        <rFont val="Calibri"/>
        <family val="2"/>
      </rPr>
      <t xml:space="preserve"> This represents the "opportunity cost" of capital. If you buy physical coffee today, your money is "locked up" in beans rather than earning interest in a safe 6-month Treasury bill. The model adds this lost interest to the future price of the coffee to ensure the investment remains balanced against a risk-free alternative.</t>
    </r>
  </si>
  <si>
    <r>
      <t>Interpretation:</t>
    </r>
    <r>
      <rPr>
        <sz val="11"/>
        <color theme="1"/>
        <rFont val="Calibri"/>
        <family val="2"/>
      </rPr>
      <t xml:space="preserve"> Unlike stocks or bonds, coffee is a physical asset that requires climate-controlled silos and insurance. These "carry costs" are added to the spot price because the futures contract allows the buyer to avoid these immediate logistics expenses, pushing the fair price higher as the time to delivery increases.</t>
    </r>
  </si>
  <si>
    <t>Market Scenario &amp; Arbitrage Analysis</t>
  </si>
  <si>
    <t>1. Contango Market Structure</t>
  </si>
  <si>
    <t>#</t>
  </si>
  <si>
    <t>2. Theoretical Arbitrage Opportunity</t>
  </si>
  <si>
    <r>
      <t xml:space="preserve">Project Overview: </t>
    </r>
    <r>
      <rPr>
        <sz val="11"/>
        <color theme="1"/>
        <rFont val="Calibri"/>
        <family val="2"/>
      </rPr>
      <t>Price a call option on a coffee futures contract using the current spot price, strike price, risk-free rate, time to maturity, and volatility.</t>
    </r>
  </si>
  <si>
    <t>Option Valuation Overview</t>
  </si>
  <si>
    <t>Annualized Volatility :</t>
  </si>
  <si>
    <r>
      <t xml:space="preserve">The calculated </t>
    </r>
    <r>
      <rPr>
        <b/>
        <sz val="11"/>
        <color theme="1"/>
        <rFont val="Calibri"/>
        <family val="2"/>
      </rPr>
      <t>Option Price (Present Value) is $0.34</t>
    </r>
    <r>
      <rPr>
        <sz val="11"/>
        <color theme="1"/>
        <rFont val="Calibri"/>
        <family val="2"/>
      </rPr>
      <t xml:space="preserve">. Even though the spot price is currently slightly below the strike (making it "out-of-the-money"), the option commands a premium because of the significant </t>
    </r>
    <r>
      <rPr>
        <b/>
        <sz val="11"/>
        <color theme="1"/>
        <rFont val="Calibri"/>
        <family val="2"/>
      </rPr>
      <t>time value</t>
    </r>
    <r>
      <rPr>
        <sz val="11"/>
        <color theme="1"/>
        <rFont val="Calibri"/>
        <family val="2"/>
      </rPr>
      <t xml:space="preserve"> and the probability of a price recovery before the six-month expiration.</t>
    </r>
  </si>
  <si>
    <t xml:space="preserve"> Years (6 Months)</t>
  </si>
  <si>
    <r>
      <t xml:space="preserve">This is our most accurate measure of price sensitivity. It tells us that for every $1 move in the underlying coffee spot price, the option's value is expected to move by approximately </t>
    </r>
    <r>
      <rPr>
        <b/>
        <sz val="11"/>
        <color theme="1"/>
        <rFont val="Calibri"/>
        <family val="2"/>
      </rPr>
      <t>$0.57</t>
    </r>
    <r>
      <rPr>
        <sz val="11"/>
        <color theme="1"/>
        <rFont val="Calibri"/>
        <family val="2"/>
      </rPr>
      <t>. This helps traders understand how much of the market's "pulse" the option captures.</t>
    </r>
  </si>
  <si>
    <r>
      <t>1. Delta (</t>
    </r>
    <r>
      <rPr>
        <b/>
        <sz val="11"/>
        <color theme="1"/>
        <rFont val="Arial"/>
        <family val="2"/>
      </rPr>
      <t>N(d</t>
    </r>
    <r>
      <rPr>
        <b/>
        <vertAlign val="subscript"/>
        <sz val="11"/>
        <color theme="1"/>
        <rFont val="Arial"/>
        <family val="2"/>
      </rPr>
      <t>1</t>
    </r>
    <r>
      <rPr>
        <b/>
        <sz val="11"/>
        <color theme="1"/>
        <rFont val="Arial"/>
        <family val="2"/>
      </rPr>
      <t>) 0.57</t>
    </r>
    <r>
      <rPr>
        <b/>
        <sz val="11"/>
        <color theme="1"/>
        <rFont val="Calibri"/>
        <family val="2"/>
      </rPr>
      <t>): The Sensitivity Measure</t>
    </r>
  </si>
  <si>
    <r>
      <t>2. Probability of Exercise (</t>
    </r>
    <r>
      <rPr>
        <b/>
        <sz val="11"/>
        <color theme="1"/>
        <rFont val="Arial"/>
        <family val="2"/>
      </rPr>
      <t>N(d</t>
    </r>
    <r>
      <rPr>
        <b/>
        <vertAlign val="subscript"/>
        <sz val="11"/>
        <color theme="1"/>
        <rFont val="Arial"/>
        <family val="2"/>
      </rPr>
      <t>2</t>
    </r>
    <r>
      <rPr>
        <b/>
        <sz val="11"/>
        <color theme="1"/>
        <rFont val="Arial"/>
        <family val="2"/>
      </rPr>
      <t>) 0.46</t>
    </r>
    <r>
      <rPr>
        <b/>
        <sz val="11"/>
        <color theme="1"/>
        <rFont val="Calibri"/>
        <family val="2"/>
      </rPr>
      <t>): The Market's "Odds"</t>
    </r>
  </si>
  <si>
    <r>
      <t xml:space="preserve">This represents the risk-neutral probability that the option will finish "in-the-money." At </t>
    </r>
    <r>
      <rPr>
        <b/>
        <sz val="11"/>
        <color theme="1"/>
        <rFont val="Calibri"/>
        <family val="2"/>
      </rPr>
      <t>46%</t>
    </r>
    <r>
      <rPr>
        <sz val="11"/>
        <color theme="1"/>
        <rFont val="Calibri"/>
        <family val="2"/>
      </rPr>
      <t>, the market suggests a nearly balanced outlook, where there is a strong possibility that coffee prices will climb above the $2.95 threshold by maturity.</t>
    </r>
  </si>
  <si>
    <t>Market Scenario &amp; Risk Analysis</t>
  </si>
  <si>
    <t>1. Impact of High Volatility (39.29%)</t>
  </si>
  <si>
    <r>
      <t>Interpretation:</t>
    </r>
    <r>
      <rPr>
        <sz val="11"/>
        <color theme="1"/>
        <rFont val="Calibri"/>
        <family val="2"/>
      </rPr>
      <t xml:space="preserve"> Coffee is a notoriously "nervous" market. The high volatility acts as a "multiplier" for the option price. If volatility were lower, the premium would shrink significantly because the statistical likelihood of a price spike would decrease.</t>
    </r>
  </si>
  <si>
    <r>
      <t>With 39% Volatility:</t>
    </r>
    <r>
      <rPr>
        <sz val="11"/>
        <color theme="1"/>
        <rFont val="Calibri"/>
        <family val="2"/>
      </rPr>
      <t xml:space="preserve"> The Price is $0.34.</t>
    </r>
  </si>
  <si>
    <r>
      <t>With 20% Volatility:</t>
    </r>
    <r>
      <rPr>
        <sz val="11"/>
        <color theme="1"/>
        <rFont val="Calibri"/>
        <family val="2"/>
      </rPr>
      <t xml:space="preserve"> The Price would fall to approximately $0.18.</t>
    </r>
  </si>
  <si>
    <r>
      <t xml:space="preserve">The presence of high volatility provides a </t>
    </r>
    <r>
      <rPr>
        <b/>
        <sz val="11"/>
        <color theme="1"/>
        <rFont val="Calibri"/>
        <family val="2"/>
      </rPr>
      <t>"strategic upside"</t>
    </r>
    <r>
      <rPr>
        <sz val="11"/>
        <color theme="1"/>
        <rFont val="Calibri"/>
        <family val="2"/>
      </rPr>
      <t xml:space="preserve"> for the holder, where the option gains value simply because the market expects larger price swings.</t>
    </r>
  </si>
  <si>
    <t>2. Time Decay (Theta) Analysis</t>
  </si>
  <si>
    <r>
      <t>2. The Cost of Physical Storage (</t>
    </r>
    <r>
      <rPr>
        <b/>
        <sz val="11"/>
        <color theme="1"/>
        <rFont val="Arial"/>
        <family val="2"/>
      </rPr>
      <t>d = 1.00%</t>
    </r>
    <r>
      <rPr>
        <b/>
        <sz val="11"/>
        <color theme="1"/>
        <rFont val="Calibri"/>
        <family val="2"/>
      </rPr>
      <t>)</t>
    </r>
  </si>
  <si>
    <r>
      <t>Interpretation:</t>
    </r>
    <r>
      <rPr>
        <sz val="11"/>
        <color theme="1"/>
        <rFont val="Calibri"/>
        <family val="2"/>
      </rPr>
      <t xml:space="preserve"> As we approach the six-month maturity, the "hope value" of the option begins to erode. If the spot price remains stagnant at $2.94, the $0.34 premium will slowly decay toward zero. This demonstrates the </t>
    </r>
    <r>
      <rPr>
        <b/>
        <sz val="11"/>
        <color theme="1"/>
        <rFont val="Calibri"/>
        <family val="2"/>
      </rPr>
      <t>asymmetric risk</t>
    </r>
    <r>
      <rPr>
        <sz val="11"/>
        <color theme="1"/>
        <rFont val="Calibri"/>
        <family val="2"/>
      </rPr>
      <t xml:space="preserve"> of the contract: while the potential gain is high if coffee prices soar, the certain cost is the premium paid if the market remains flat.</t>
    </r>
  </si>
  <si>
    <r>
      <t xml:space="preserve">This framework allows us to view the </t>
    </r>
    <r>
      <rPr>
        <b/>
        <sz val="11"/>
        <color theme="1"/>
        <rFont val="Calibri"/>
        <family val="2"/>
      </rPr>
      <t>$0.34 premium</t>
    </r>
    <r>
      <rPr>
        <sz val="11"/>
        <color theme="1"/>
        <rFont val="Calibri"/>
        <family val="2"/>
      </rPr>
      <t xml:space="preserve"> not just as a cost, but as an insurance policy against the unpredictable nature of global commodity markets.</t>
    </r>
  </si>
  <si>
    <t>Evaluating Coffee® Call Option Performance: A Quantitative Perspective</t>
  </si>
  <si>
    <t>A Costof Carry Framework</t>
  </si>
  <si>
    <r>
      <t>Initial Price (S</t>
    </r>
    <r>
      <rPr>
        <vertAlign val="subscript"/>
        <sz val="11"/>
        <color theme="1"/>
        <rFont val="Calibri"/>
        <family val="2"/>
      </rPr>
      <t>0</t>
    </r>
    <r>
      <rPr>
        <sz val="11"/>
        <color theme="1"/>
        <rFont val="Calibri"/>
        <family val="2"/>
      </rPr>
      <t>)</t>
    </r>
  </si>
  <si>
    <t>Time (dt)</t>
  </si>
  <si>
    <t>Tommorow Price</t>
  </si>
  <si>
    <t>The Trading Days</t>
  </si>
  <si>
    <t>Scenario 1</t>
  </si>
  <si>
    <t>Scenario 2</t>
  </si>
  <si>
    <t>Scenario 3</t>
  </si>
  <si>
    <t>Scenario 4</t>
  </si>
  <si>
    <t>Scenario 5</t>
  </si>
  <si>
    <t>Scenario 6</t>
  </si>
  <si>
    <t>Scenario 7</t>
  </si>
  <si>
    <t>Scenario 8</t>
  </si>
  <si>
    <t>Scenario 9</t>
  </si>
  <si>
    <t>Scenario 10</t>
  </si>
  <si>
    <t>Scenario 11</t>
  </si>
  <si>
    <t>Scenario 12</t>
  </si>
  <si>
    <t>Scenario 13</t>
  </si>
  <si>
    <t>Scenario 14</t>
  </si>
  <si>
    <t>Scenario 15</t>
  </si>
  <si>
    <t>Scenario 16</t>
  </si>
  <si>
    <t>Scenario 17</t>
  </si>
  <si>
    <t>Scenario 18</t>
  </si>
  <si>
    <t>Scenario 19</t>
  </si>
  <si>
    <t>Scenario 20</t>
  </si>
  <si>
    <t>Scenario 21</t>
  </si>
  <si>
    <t>Scenario 22</t>
  </si>
  <si>
    <t>Scenario 23</t>
  </si>
  <si>
    <t>Scenario 24</t>
  </si>
  <si>
    <t>Scenario 25</t>
  </si>
  <si>
    <t>Scenario 26</t>
  </si>
  <si>
    <t>Scenario 27</t>
  </si>
  <si>
    <t>Scenario 28</t>
  </si>
  <si>
    <t>Scenario 29</t>
  </si>
  <si>
    <t>Scenario 30</t>
  </si>
  <si>
    <t>Scenario 31</t>
  </si>
  <si>
    <t>Scenario 32</t>
  </si>
  <si>
    <t>Scenario 33</t>
  </si>
  <si>
    <t>Scenario 34</t>
  </si>
  <si>
    <t>Scenario 35</t>
  </si>
  <si>
    <t>Scenario 36</t>
  </si>
  <si>
    <t>Scenario 37</t>
  </si>
  <si>
    <t>Scenario 38</t>
  </si>
  <si>
    <t>Scenario 39</t>
  </si>
  <si>
    <t>Scenario 40</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</si>
  <si>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</si>
  <si>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</si>
  <si>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</si>
  <si>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</si>
  <si>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</si>
  <si>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</si>
  <si>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</si>
  <si>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</si>
  <si>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</si>
  <si>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</si>
  <si>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</si>
  <si>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</si>
  <si>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</si>
  <si>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</si>
  <si>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</si>
  <si>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</si>
  <si>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</si>
  <si>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</si>
  <si>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</si>
  <si>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</si>
  <si>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</si>
  <si>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</si>
  <si>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</si>
  <si>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</si>
  <si>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</si>
  <si>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</si>
  <si>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</si>
  <si>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</si>
  <si>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</si>
  <si>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</si>
  <si>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</si>
  <si>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</si>
  <si>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</si>
  <si>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</si>
  <si>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</si>
  <si>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</si>
  <si>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</si>
  <si>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</si>
  <si>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</si>
  <si>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</si>
  <si>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</si>
  <si>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</si>
  <si>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</si>
  <si>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</si>
  <si>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</si>
  <si>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</si>
  <si>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</si>
  <si>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</si>
  <si>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</si>
  <si>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</si>
  <si>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</si>
  <si>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</si>
  <si>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</si>
  <si>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Day 54</t>
  </si>
  <si>
    <t>Day 55</t>
  </si>
  <si>
    <t>Day 56</t>
  </si>
  <si>
    <t>Day 57</t>
  </si>
  <si>
    <t>Day 58</t>
  </si>
  <si>
    <t>Day 59</t>
  </si>
  <si>
    <t>Day 60</t>
  </si>
  <si>
    <t>Day 61</t>
  </si>
  <si>
    <t>Day 62</t>
  </si>
  <si>
    <t>Day 63</t>
  </si>
  <si>
    <t>Day 64</t>
  </si>
  <si>
    <t>Day 65</t>
  </si>
  <si>
    <t>Day 66</t>
  </si>
  <si>
    <t>Day 67</t>
  </si>
  <si>
    <t>Day 68</t>
  </si>
  <si>
    <t>Day 69</t>
  </si>
  <si>
    <t>Day 70</t>
  </si>
  <si>
    <t>Day 71</t>
  </si>
  <si>
    <t>Day 72</t>
  </si>
  <si>
    <t>Day 73</t>
  </si>
  <si>
    <t>Day 74</t>
  </si>
  <si>
    <t>Day 75</t>
  </si>
  <si>
    <t>Day 76</t>
  </si>
  <si>
    <t>Day 77</t>
  </si>
  <si>
    <t>Day 78</t>
  </si>
  <si>
    <t>Day 79</t>
  </si>
  <si>
    <t>Day 80</t>
  </si>
  <si>
    <t>Day 81</t>
  </si>
  <si>
    <t>Day 82</t>
  </si>
  <si>
    <t>Day 83</t>
  </si>
  <si>
    <t>Day 84</t>
  </si>
  <si>
    <t>Day 85</t>
  </si>
  <si>
    <t>Day 86</t>
  </si>
  <si>
    <t>Day 87</t>
  </si>
  <si>
    <t>Day 88</t>
  </si>
  <si>
    <t>Day 89</t>
  </si>
  <si>
    <t>Day 90</t>
  </si>
  <si>
    <t>Day 91</t>
  </si>
  <si>
    <t>Day 92</t>
  </si>
  <si>
    <t>Day 93</t>
  </si>
  <si>
    <t>Day 94</t>
  </si>
  <si>
    <t>Day 95</t>
  </si>
  <si>
    <t>Day 96</t>
  </si>
  <si>
    <t>Day 97</t>
  </si>
  <si>
    <t>Day 98</t>
  </si>
  <si>
    <t>Day 99</t>
  </si>
  <si>
    <t>Day 100</t>
  </si>
  <si>
    <t>Day 101</t>
  </si>
  <si>
    <t>Day 102</t>
  </si>
  <si>
    <t>Day 103</t>
  </si>
  <si>
    <t>Day 104</t>
  </si>
  <si>
    <t>Day 105</t>
  </si>
  <si>
    <t>Day 106</t>
  </si>
  <si>
    <t>Day 107</t>
  </si>
  <si>
    <t>Day 108</t>
  </si>
  <si>
    <t>Day 109</t>
  </si>
  <si>
    <t>Day 110</t>
  </si>
  <si>
    <t>Day 111</t>
  </si>
  <si>
    <t>Day 112</t>
  </si>
  <si>
    <t>Day 113</t>
  </si>
  <si>
    <t>Day 114</t>
  </si>
  <si>
    <t>Day 115</t>
  </si>
  <si>
    <t>Day 116</t>
  </si>
  <si>
    <t>Day 117</t>
  </si>
  <si>
    <t>Day 118</t>
  </si>
  <si>
    <t>Day 119</t>
  </si>
  <si>
    <t>Day 120</t>
  </si>
  <si>
    <t>Day 121</t>
  </si>
  <si>
    <t>Day 122</t>
  </si>
  <si>
    <t>Day 123</t>
  </si>
  <si>
    <t>Day 124</t>
  </si>
  <si>
    <t>Day 125</t>
  </si>
  <si>
    <t>Day 126</t>
  </si>
  <si>
    <t>Expected Future Spot</t>
  </si>
  <si>
    <t>Best Case</t>
  </si>
  <si>
    <t>Worst Case</t>
  </si>
  <si>
    <t>Stochastic Summary Statistics</t>
  </si>
  <si>
    <t>In-The-Money Probability</t>
  </si>
  <si>
    <t>Stochastic Forecasting: Coffee Price Path Scenarios &amp; Market Uncertainty</t>
  </si>
  <si>
    <r>
      <rPr>
        <b/>
        <sz val="11"/>
        <color theme="1"/>
        <rFont val="Calibri"/>
        <family val="2"/>
      </rPr>
      <t>Project Overview:</t>
    </r>
    <r>
      <rPr>
        <sz val="11"/>
        <color theme="1"/>
        <rFont val="Calibri"/>
        <family val="2"/>
      </rPr>
      <t xml:space="preserve"> Run simulations to forecast the price of coffee futures under different market conditions. Evaluate the impact of varying supply, demand, and weather scenarios.</t>
    </r>
  </si>
  <si>
    <t>Why Run a Monte Carlo Simulation?</t>
  </si>
  <si>
    <r>
      <t xml:space="preserve">While our previous models provide a single "fair value," the Monte Carlo simulation serves as a financial stress test. By simulating </t>
    </r>
    <r>
      <rPr>
        <b/>
        <sz val="11"/>
        <color theme="1"/>
        <rFont val="Calibri"/>
        <family val="2"/>
      </rPr>
      <t>40 independent price paths</t>
    </r>
    <r>
      <rPr>
        <sz val="11"/>
        <color theme="1"/>
        <rFont val="Calibri"/>
        <family val="2"/>
      </rPr>
      <t>, we transition from static formulas to a dynamic forecast that mirrors the "random walk" of the global coffee market. This model acknowledges that the journey to maturity is influenced by unpredictable daily shocks-such as sudden frosts in Brazil, shipping delays, or shifts in global demand-allowing us to observe the full range of potential price outcomes.</t>
    </r>
  </si>
  <si>
    <t>Interpreting the Simulation Metrics</t>
  </si>
  <si>
    <r>
      <rPr>
        <b/>
        <sz val="11"/>
        <color theme="1"/>
        <rFont val="Calibri"/>
        <family val="2"/>
      </rPr>
      <t>1. The Starting Baseline ($2.94):</t>
    </r>
    <r>
      <rPr>
        <sz val="11"/>
        <color theme="1"/>
        <rFont val="Calibri"/>
        <family val="2"/>
      </rPr>
      <t xml:space="preserve"> To ensure statistical integrity, every scenario begins at today’s real-world spot price. This anchors our "parallel universes" to current market truth.</t>
    </r>
  </si>
  <si>
    <r>
      <rPr>
        <b/>
        <sz val="11"/>
        <color theme="1"/>
        <rFont val="Calibri"/>
        <family val="2"/>
      </rPr>
      <t>2. The Role of Volatility (39.30%):</t>
    </r>
    <r>
      <rPr>
        <sz val="11"/>
        <color theme="1"/>
        <rFont val="Calibri"/>
        <family val="2"/>
      </rPr>
      <t xml:space="preserve"> Our high annualized volatility acts as the "energy" behind the price swings. It ensures that the daily price changes are significant enough to capture the "nervous" nature of commodity trading, where prices can deviate sharply from the mean in a short period.</t>
    </r>
  </si>
  <si>
    <r>
      <rPr>
        <b/>
        <sz val="11"/>
        <color theme="1"/>
        <rFont val="Calibri"/>
        <family val="2"/>
      </rPr>
      <t>3. The Time Horizon (126 Trading Days):</t>
    </r>
    <r>
      <rPr>
        <sz val="11"/>
        <color theme="1"/>
        <rFont val="Calibri"/>
        <family val="2"/>
      </rPr>
      <t xml:space="preserve"> By simulating exactly 126 steps, we align our forecast perfectly with the 6-month maturity of the option (T = 0.5). This allows us to see how small daily fluctuations compound over time into a final settlement price.</t>
    </r>
  </si>
  <si>
    <t>Evaluating Market Scenarios</t>
  </si>
  <si>
    <t>1. Probability of Profit (In-The-Money Probability)</t>
  </si>
  <si>
    <r>
      <t>Interpretation:</t>
    </r>
    <r>
      <rPr>
        <sz val="11"/>
        <color theme="1"/>
        <rFont val="Calibri"/>
        <family val="2"/>
      </rPr>
      <t xml:space="preserve"> This metric is our "Success Rate." It tells us what percentage of our simulated futures ended above the </t>
    </r>
    <r>
      <rPr>
        <b/>
        <sz val="11"/>
        <color theme="1"/>
        <rFont val="Arial"/>
        <family val="2"/>
      </rPr>
      <t>$2.95 Strike Price</t>
    </r>
    <r>
      <rPr>
        <sz val="11"/>
        <color theme="1"/>
        <rFont val="Calibri"/>
        <family val="2"/>
      </rPr>
      <t xml:space="preserve">. By counting these successes across 40 distinct scenarios, we gain a "real-world" verification of the Black-Scholes </t>
    </r>
    <r>
      <rPr>
        <sz val="11"/>
        <color theme="1"/>
        <rFont val="Arial"/>
        <family val="2"/>
      </rPr>
      <t>N(d</t>
    </r>
    <r>
      <rPr>
        <vertAlign val="subscript"/>
        <sz val="11"/>
        <color theme="1"/>
        <rFont val="Arial"/>
        <family val="2"/>
      </rPr>
      <t>2</t>
    </r>
    <r>
      <rPr>
        <sz val="11"/>
        <color theme="1"/>
        <rFont val="Arial"/>
        <family val="2"/>
      </rPr>
      <t>)</t>
    </r>
    <r>
      <rPr>
        <sz val="11"/>
        <color theme="1"/>
        <rFont val="Calibri"/>
        <family val="2"/>
      </rPr>
      <t xml:space="preserve"> probability. It represents the likelihood that an investor will walk away with a profit after six months.</t>
    </r>
  </si>
  <si>
    <t>2. Analyzing the "Fat Tails" (Best &amp; Worst Case)</t>
  </si>
  <si>
    <r>
      <t>Interpretation:</t>
    </r>
    <r>
      <rPr>
        <sz val="11"/>
        <color theme="1"/>
        <rFont val="Calibri"/>
        <family val="2"/>
      </rPr>
      <t xml:space="preserve"> The simulation reveals the </t>
    </r>
    <r>
      <rPr>
        <b/>
        <sz val="11"/>
        <color theme="1"/>
        <rFont val="Calibri"/>
        <family val="2"/>
      </rPr>
      <t>asymmetric risk</t>
    </r>
    <r>
      <rPr>
        <sz val="11"/>
        <color theme="1"/>
        <rFont val="Calibri"/>
        <family val="2"/>
      </rPr>
      <t xml:space="preserve"> of coffee futures.</t>
    </r>
  </si>
  <si>
    <r>
      <t>A. The Max Scenario:</t>
    </r>
    <r>
      <rPr>
        <sz val="11"/>
        <color theme="1"/>
        <rFont val="Calibri"/>
        <family val="2"/>
      </rPr>
      <t xml:space="preserve"> Represents a "Supply Shock" scenario (e.g., crop failure), where prices spike toward the upper boundary.</t>
    </r>
  </si>
  <si>
    <r>
      <t>B. The Min Scenario:</t>
    </r>
    <r>
      <rPr>
        <sz val="11"/>
        <color theme="1"/>
        <rFont val="Calibri"/>
        <family val="2"/>
      </rPr>
      <t xml:space="preserve"> Represents a "Surplus" scenario (e.g., record harvest), where prices drop significantly.</t>
    </r>
  </si>
  <si>
    <t>Evaluating Coffee® Call Option Performance: Black-Schole Approach</t>
  </si>
  <si>
    <t>Coffee C® Futures &amp; Options: Quantitative Risk Report</t>
  </si>
  <si>
    <t>This report synthesizes three distinct quantitative layers to evaluate the six-month horizon for Coffee C® futures and options. By bridging the gap between theoretical fair value and stochastic forecasting, we provide a clear view of the market's "expected gravity" versus its "extreme risk potential."</t>
  </si>
  <si>
    <t>The Integrated Market Outlook</t>
  </si>
  <si>
    <t>Summary of Key Metrics ( The "Results")</t>
  </si>
  <si>
    <t>Project Component</t>
  </si>
  <si>
    <t>Key Metric</t>
  </si>
  <si>
    <t>Interpretation</t>
  </si>
  <si>
    <t xml:space="preserve">Project 1: Cost of Carry </t>
  </si>
  <si>
    <t>The "No-Arbitrage" future price based on holding costs.</t>
  </si>
  <si>
    <t>Project 2: Black Schole Model</t>
  </si>
  <si>
    <t>Project 3: M C Simulation</t>
  </si>
  <si>
    <t>The cost of time and market volatility (The Hedge).</t>
  </si>
  <si>
    <t>The expected "Center of Gravity" across 10,000 scenarios.</t>
  </si>
  <si>
    <t>Visual Proof  (The "Evidence")</t>
  </si>
  <si>
    <t>Strategic Recommendations (The "Action")</t>
  </si>
  <si>
    <r>
      <t>1. Risk Mitigation:</t>
    </r>
    <r>
      <rPr>
        <sz val="11"/>
        <color theme="1"/>
        <rFont val="Calibri"/>
        <family val="2"/>
      </rPr>
      <t xml:space="preserve"> Given the high volatility (</t>
    </r>
    <r>
      <rPr>
        <b/>
        <sz val="11"/>
        <color theme="1"/>
        <rFont val="Calibri"/>
        <family val="2"/>
      </rPr>
      <t>39.30%</t>
    </r>
    <r>
      <rPr>
        <sz val="11"/>
        <color theme="1"/>
        <rFont val="Calibri"/>
        <family val="2"/>
      </rPr>
      <t xml:space="preserve">), the </t>
    </r>
    <r>
      <rPr>
        <b/>
        <sz val="11"/>
        <color theme="1"/>
        <rFont val="Calibri"/>
        <family val="2"/>
      </rPr>
      <t>$0.34 premium</t>
    </r>
    <r>
      <rPr>
        <sz val="11"/>
        <color theme="1"/>
        <rFont val="Calibri"/>
        <family val="2"/>
      </rPr>
      <t xml:space="preserve"> is a reasonable "insurance policy" to cap procurement costs at </t>
    </r>
    <r>
      <rPr>
        <b/>
        <sz val="11"/>
        <color theme="1"/>
        <rFont val="Calibri"/>
        <family val="2"/>
      </rPr>
      <t>$2.95</t>
    </r>
    <r>
      <rPr>
        <sz val="11"/>
        <color theme="1"/>
        <rFont val="Calibri"/>
        <family val="2"/>
      </rPr>
      <t>.</t>
    </r>
  </si>
  <si>
    <r>
      <t>3. Dynamic Updating:</t>
    </r>
    <r>
      <rPr>
        <sz val="11"/>
        <color theme="1"/>
        <rFont val="Calibri"/>
        <family val="2"/>
      </rPr>
      <t xml:space="preserve"> These models should be refreshed weekly to account for </t>
    </r>
    <r>
      <rPr>
        <b/>
        <sz val="11"/>
        <color theme="1"/>
        <rFont val="Calibri"/>
        <family val="2"/>
      </rPr>
      <t>Time Decay (Theta)</t>
    </r>
    <r>
      <rPr>
        <sz val="11"/>
        <color theme="1"/>
        <rFont val="Calibri"/>
        <family val="2"/>
      </rPr>
      <t xml:space="preserve"> and shifting volatility levels.</t>
    </r>
  </si>
  <si>
    <r>
      <rPr>
        <b/>
        <sz val="11"/>
        <color theme="1"/>
        <rFont val="Calibri"/>
        <family val="2"/>
      </rPr>
      <t>2. Arbitrage Monitoring:</t>
    </r>
    <r>
      <rPr>
        <sz val="11"/>
        <color theme="1"/>
        <rFont val="Calibri"/>
        <family val="2"/>
      </rPr>
      <t xml:space="preserve"> If the market price for 6-month futures trades significantly higher than </t>
    </r>
    <r>
      <rPr>
        <b/>
        <sz val="11"/>
        <color theme="1"/>
        <rFont val="Calibri"/>
        <family val="2"/>
      </rPr>
      <t>$3.01</t>
    </r>
    <r>
      <rPr>
        <sz val="11"/>
        <color theme="1"/>
        <rFont val="Calibri"/>
        <family val="2"/>
      </rPr>
      <t>, it indicates an "overpriced" scenario where selling futures could be profitable.</t>
    </r>
  </si>
  <si>
    <t>Technical Appendix (The "How")</t>
  </si>
  <si>
    <t>The Hybrid Quantitative Workflow</t>
  </si>
  <si>
    <t>Model Specifications</t>
  </si>
  <si>
    <r>
      <t>1. Excel as the "Control Center":</t>
    </r>
    <r>
      <rPr>
        <sz val="10"/>
        <color theme="2" tint="-0.749992370372631"/>
        <rFont val="Calibri"/>
        <family val="2"/>
      </rPr>
      <t xml:space="preserve"> Used for initial data ingestion, Cost of Carry calculations, and Black-Scholes closed-form solutions.</t>
    </r>
  </si>
  <si>
    <r>
      <t>2. Python as the "Stress Test Engine":</t>
    </r>
    <r>
      <rPr>
        <sz val="10"/>
        <color theme="2" tint="-0.749992370372631"/>
        <rFont val="Calibri"/>
        <family val="2"/>
      </rPr>
      <t xml:space="preserve"> Used to execute </t>
    </r>
    <r>
      <rPr>
        <b/>
        <sz val="10"/>
        <color theme="2" tint="-0.749992370372631"/>
        <rFont val="Calibri"/>
        <family val="2"/>
      </rPr>
      <t>10,000 Monte Carlo iterations</t>
    </r>
    <r>
      <rPr>
        <sz val="10"/>
        <color theme="2" tint="-0.749992370372631"/>
        <rFont val="Calibri"/>
        <family val="2"/>
      </rPr>
      <t xml:space="preserve"> to provide a high-fidelity statistical check on the static Excel models.</t>
    </r>
  </si>
  <si>
    <r>
      <t>1. Stochastic Process:</t>
    </r>
    <r>
      <rPr>
        <sz val="10"/>
        <color theme="2" tint="-0.749992370372631"/>
        <rFont val="Calibri"/>
        <family val="2"/>
      </rPr>
      <t xml:space="preserve"> The simulation utilizes </t>
    </r>
    <r>
      <rPr>
        <b/>
        <sz val="10"/>
        <color theme="2" tint="-0.749992370372631"/>
        <rFont val="Calibri"/>
        <family val="2"/>
      </rPr>
      <t>Geometric Brownian Motion (GBM)</t>
    </r>
    <r>
      <rPr>
        <sz val="10"/>
        <color theme="2" tint="-0.749992370372631"/>
        <rFont val="Calibri"/>
        <family val="2"/>
      </rPr>
      <t>, assuming coffee price returns are log-normally distributed.</t>
    </r>
  </si>
  <si>
    <r>
      <rPr>
        <b/>
        <sz val="10"/>
        <color theme="2" tint="-0.749992370372631"/>
        <rFont val="Calibri"/>
        <family val="2"/>
      </rPr>
      <t xml:space="preserve">2. Volatility Calibration: </t>
    </r>
    <r>
      <rPr>
        <sz val="10"/>
        <color theme="2" tint="-0.749992370372631"/>
        <rFont val="Calibri"/>
        <family val="2"/>
      </rPr>
      <t>Annualized volatility (sigma) is dynamically calculated in Python: sigma = STDEV(Log Returns) * sqrt(252).</t>
    </r>
  </si>
  <si>
    <r>
      <rPr>
        <b/>
        <sz val="10"/>
        <color theme="2" tint="-0.749992370372631"/>
        <rFont val="Calibri"/>
        <family val="2"/>
      </rPr>
      <t>3. Time Step Logic:</t>
    </r>
    <r>
      <rPr>
        <sz val="10"/>
        <color theme="2" tint="-0.749992370372631"/>
        <rFont val="Calibri"/>
        <family val="2"/>
      </rPr>
      <t xml:space="preserve"> I utilized a time step (dt) of T/252, simulating exactly 126 trading days (T=0.5).</t>
    </r>
  </si>
  <si>
    <t>This model bridges the gap between the coffee warehouse and the trading floor. It ensures our buying strategy is based on actual logistics, while our insurance (the option) is backed by 10,000 simulations. We’ve turned market uncertainty into a manageable plan.</t>
  </si>
  <si>
    <t>Figure 1: Price Path Dispersion (The Journey)</t>
  </si>
  <si>
    <t>Figure 2: Terminal Price Distribution (The Destination)</t>
  </si>
  <si>
    <r>
      <t xml:space="preserve">The dual-lens view above provides a comprehensive 'stress test' of our strategy. </t>
    </r>
    <r>
      <rPr>
        <b/>
        <sz val="11"/>
        <color theme="1"/>
        <rFont val="Calibri"/>
        <family val="2"/>
      </rPr>
      <t>Figure 1</t>
    </r>
    <r>
      <rPr>
        <sz val="11"/>
        <color theme="1"/>
        <rFont val="Calibri"/>
        <family val="2"/>
      </rPr>
      <t xml:space="preserve"> illustrates the 'Fan of Uncertainty' over the 126-day trading horizon, visualizing the 10,000 unique paths the market could take. While the paths appear chaotic, </t>
    </r>
    <r>
      <rPr>
        <b/>
        <sz val="11"/>
        <color theme="1"/>
        <rFont val="Calibri"/>
        <family val="2"/>
      </rPr>
      <t>Figure 2</t>
    </r>
    <r>
      <rPr>
        <sz val="11"/>
        <color theme="1"/>
        <rFont val="Calibri"/>
        <family val="2"/>
      </rPr>
      <t xml:space="preserve"> settles this noise into a clear statistical distribution at maturity.</t>
    </r>
  </si>
  <si>
    <r>
      <t xml:space="preserve">Together, they prove that while the market’s center of gravity is near our fair value, the </t>
    </r>
    <r>
      <rPr>
        <b/>
        <sz val="11"/>
        <color theme="1"/>
        <rFont val="Calibri"/>
        <family val="2"/>
      </rPr>
      <t>upside risk (the 'fat tails' in Fig 2)</t>
    </r>
    <r>
      <rPr>
        <sz val="11"/>
        <color theme="1"/>
        <rFont val="Calibri"/>
        <family val="2"/>
      </rPr>
      <t xml:space="preserve"> is significant. This confirms that our </t>
    </r>
    <r>
      <rPr>
        <b/>
        <sz val="11"/>
        <color theme="1"/>
        <rFont val="Calibri"/>
        <family val="2"/>
      </rPr>
      <t>$0.34 premium</t>
    </r>
    <r>
      <rPr>
        <sz val="11"/>
        <color theme="1"/>
        <rFont val="Calibri"/>
        <family val="2"/>
      </rPr>
      <t xml:space="preserve"> is a vital insurance policy to protect our procurement budget against the extreme price spikes seen in </t>
    </r>
    <r>
      <rPr>
        <b/>
        <sz val="11"/>
        <color theme="1"/>
        <rFont val="Calibri"/>
        <family val="2"/>
      </rPr>
      <t>Fig 1</t>
    </r>
    <r>
      <rPr>
        <sz val="11"/>
        <color theme="1"/>
        <rFont val="Calibri"/>
        <family val="2"/>
      </rPr>
      <t>.</t>
    </r>
  </si>
  <si>
    <t>Integrated Risk Analysis</t>
  </si>
  <si>
    <r>
      <t xml:space="preserve">The calculated </t>
    </r>
    <r>
      <rPr>
        <b/>
        <sz val="11"/>
        <color theme="1"/>
        <rFont val="Calibri"/>
        <family val="2"/>
      </rPr>
      <t>Fair Futures Price (F</t>
    </r>
    <r>
      <rPr>
        <b/>
        <vertAlign val="subscript"/>
        <sz val="11"/>
        <color theme="1"/>
        <rFont val="Calibri"/>
        <family val="2"/>
      </rPr>
      <t>t</t>
    </r>
    <r>
      <rPr>
        <b/>
        <sz val="11"/>
        <color theme="1"/>
        <rFont val="Calibri"/>
        <family val="2"/>
      </rPr>
      <t xml:space="preserve">) </t>
    </r>
    <r>
      <rPr>
        <sz val="11"/>
        <color theme="1"/>
        <rFont val="Calibri"/>
        <family val="2"/>
      </rPr>
      <t>is</t>
    </r>
    <r>
      <rPr>
        <b/>
        <sz val="11"/>
        <color theme="1"/>
        <rFont val="Calibri"/>
        <family val="2"/>
      </rPr>
      <t xml:space="preserve"> $3.01</t>
    </r>
    <r>
      <rPr>
        <sz val="11"/>
        <color theme="1"/>
        <rFont val="Calibri"/>
        <family val="2"/>
      </rPr>
      <t>. This indicates that a buyer should expect to pay a $0.07 premium over the current spot price to account for the costs of financing and warehousing the coffee for the next half-year.</t>
    </r>
  </si>
  <si>
    <r>
      <rPr>
        <b/>
        <sz val="11"/>
        <color theme="1"/>
        <rFont val="Calibri"/>
        <family val="2"/>
      </rPr>
      <t>Interpretation:</t>
    </r>
    <r>
      <rPr>
        <sz val="11"/>
        <color theme="1"/>
        <rFont val="Calibri"/>
        <family val="2"/>
      </rPr>
      <t xml:space="preserve"> Because my calculated futures price ($3.01) is higher than the current spot price ($2.94), the market is in "Contango." This is normal for storable commodities like coffee. It tells us there is no immediate shortage; instead, the market is adequately supplied, and the price difference is simply reflecting the "rent" paid for time and storage space.</t>
    </r>
  </si>
  <si>
    <r>
      <t>Interpretation:</t>
    </r>
    <r>
      <rPr>
        <sz val="11"/>
        <color theme="1"/>
        <rFont val="Calibri"/>
        <family val="2"/>
      </rPr>
      <t xml:space="preserve"> If we look at a real-time exchange like the </t>
    </r>
    <r>
      <rPr>
        <b/>
        <sz val="11"/>
        <color theme="1"/>
        <rFont val="Calibri"/>
        <family val="2"/>
      </rPr>
      <t>ICE</t>
    </r>
    <r>
      <rPr>
        <sz val="11"/>
        <color theme="1"/>
        <rFont val="Calibri"/>
        <family val="2"/>
      </rPr>
      <t xml:space="preserve"> and see the 6-month futures trading at </t>
    </r>
    <r>
      <rPr>
        <b/>
        <sz val="11"/>
        <color theme="1"/>
        <rFont val="Calibri"/>
        <family val="2"/>
      </rPr>
      <t>$3.10</t>
    </r>
    <r>
      <rPr>
        <sz val="11"/>
        <color theme="1"/>
        <rFont val="Calibri"/>
        <family val="2"/>
      </rPr>
      <t xml:space="preserve"> (higher than your calculated $3.01), the market is "overpriced". A professional trader might sell that expensive futures contract and buy the physical coffee today to "lock in" a risk-free profit. Conversely, if the market price is below $3.01, it suggests a supply squeeze where people are willing to pay a premium for coffee </t>
    </r>
    <r>
      <rPr>
        <i/>
        <sz val="11"/>
        <color theme="1"/>
        <rFont val="Calibri"/>
        <family val="2"/>
      </rPr>
      <t>now</t>
    </r>
    <r>
      <rPr>
        <sz val="11"/>
        <color theme="1"/>
        <rFont val="Calibri"/>
        <family val="2"/>
      </rPr>
      <t xml:space="preserve"> rather than later.</t>
    </r>
  </si>
  <si>
    <r>
      <t>Future Price (F</t>
    </r>
    <r>
      <rPr>
        <b/>
        <vertAlign val="subscript"/>
        <sz val="11"/>
        <color theme="1"/>
        <rFont val="Calibri"/>
        <family val="2"/>
      </rPr>
      <t>t)</t>
    </r>
  </si>
  <si>
    <r>
      <rPr>
        <b/>
        <sz val="11"/>
        <color theme="4" tint="-0.499984740745262"/>
        <rFont val="Calibri"/>
        <family val="2"/>
      </rPr>
      <t>Project Overview:</t>
    </r>
    <r>
      <rPr>
        <sz val="11"/>
        <color theme="1"/>
        <rFont val="Calibri"/>
        <family val="2"/>
      </rPr>
      <t xml:space="preserve"> Calculate the futures price for a coffee contract maturing in six months using the current spot price, the risk-free interest rate, and the estimated storage costs.</t>
    </r>
  </si>
  <si>
    <r>
      <t xml:space="preserve">Why Calculating </t>
    </r>
    <r>
      <rPr>
        <b/>
        <sz val="11"/>
        <color theme="4" tint="-0.499984740745262"/>
        <rFont val="Arial"/>
        <family val="2"/>
      </rPr>
      <t>N(d</t>
    </r>
    <r>
      <rPr>
        <b/>
        <vertAlign val="subscript"/>
        <sz val="11"/>
        <color theme="4" tint="-0.499984740745262"/>
        <rFont val="Arial"/>
        <family val="2"/>
      </rPr>
      <t>1</t>
    </r>
    <r>
      <rPr>
        <b/>
        <sz val="11"/>
        <color theme="4" tint="-0.499984740745262"/>
        <rFont val="Arial"/>
        <family val="2"/>
      </rPr>
      <t>)</t>
    </r>
    <r>
      <rPr>
        <b/>
        <sz val="11"/>
        <color theme="4" tint="-0.499984740745262"/>
        <rFont val="Calibri"/>
        <family val="2"/>
      </rPr>
      <t xml:space="preserve"> and </t>
    </r>
    <r>
      <rPr>
        <b/>
        <sz val="11"/>
        <color theme="4" tint="-0.499984740745262"/>
        <rFont val="Arial"/>
        <family val="2"/>
      </rPr>
      <t>N(d</t>
    </r>
    <r>
      <rPr>
        <b/>
        <vertAlign val="subscript"/>
        <sz val="11"/>
        <color theme="4" tint="-0.499984740745262"/>
        <rFont val="Arial"/>
        <family val="2"/>
      </rPr>
      <t>2</t>
    </r>
    <r>
      <rPr>
        <b/>
        <sz val="11"/>
        <color theme="4" tint="-0.499984740745262"/>
        <rFont val="Arial"/>
        <family val="2"/>
      </rPr>
      <t>)</t>
    </r>
    <r>
      <rPr>
        <b/>
        <sz val="11"/>
        <color theme="4" tint="-0.499984740745262"/>
        <rFont val="Calibri"/>
        <family val="2"/>
      </rPr>
      <t xml:space="preserve"> is Important?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</si>
</sst>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00"/>
    <numFmt numFmtId="169" formatCode="0.0000"/>
  </numFmts>
  <fonts count="30" x14ac:knownFonts="1">
    <font>
      <sz val="11"/>
      <color theme="1"/>
      <name val="Calibri"/>
      <family val="2"/>
    </font>
    <font>
      <b/>
      <sz val="11"/>
      <color theme="0"/>
      <name val="Calibri"/>
      <family val="2"/>
    </font>
    <font>
      <b/>
      <sz val="11"/>
      <color theme="1"/>
      <name val="Calibri"/>
      <family val="2"/>
    </font>
    <font>
      <sz val="11"/>
      <color theme="0"/>
      <name val="Calibri"/>
      <family val="2"/>
    </font>
    <font>
      <vertAlign val="subscript"/>
      <sz val="11"/>
      <color theme="1"/>
      <name val="Calibri"/>
      <family val="2"/>
    </font>
    <font>
      <i/>
      <sz val="11"/>
      <color theme="1"/>
      <name val="Calibri"/>
      <family val="2"/>
    </font>
    <font>
      <i/>
      <vertAlign val="subscript"/>
      <sz val="11"/>
      <color theme="1"/>
      <name val="Calibri"/>
      <family val="2"/>
    </font>
    <font>
      <b/>
      <sz val="12"/>
      <color theme="0"/>
      <name val="Calibri"/>
      <family val="2"/>
    </font>
    <font>
      <sz val="11"/>
      <color theme="1"/>
      <name val="Arial"/>
      <family val="2"/>
    </font>
    <font>
      <b/>
      <sz val="11"/>
      <color theme="1"/>
      <name val="Arial"/>
      <family val="2"/>
    </font>
    <font>
      <sz val="20"/>
      <color theme="0"/>
      <name val="Calibri"/>
      <family val="2"/>
    </font>
    <font>
      <vertAlign val="subscript"/>
      <sz val="11"/>
      <color theme="1"/>
      <name val="Arial"/>
      <family val="2"/>
    </font>
    <font>
      <b/>
      <vertAlign val="subscript"/>
      <sz val="11"/>
      <color theme="1"/>
      <name val="Arial"/>
      <family val="2"/>
    </font>
    <font>
      <sz val="8"/>
      <name val="Calibri"/>
      <family val="2"/>
    </font>
    <font>
      <sz val="16"/>
      <color theme="0"/>
      <name val="Calibri"/>
      <family val="2"/>
    </font>
    <font>
      <sz val="10"/>
      <color theme="1"/>
      <name val="Calibri"/>
      <family val="2"/>
    </font>
    <font>
      <b/>
      <sz val="11"/>
      <color theme="4" tint="-0.499984740745262"/>
      <name val="Calibri"/>
      <family val="2"/>
    </font>
    <font>
      <b/>
      <sz val="14"/>
      <color theme="4" tint="-0.499984740745262"/>
      <name val="Calibri"/>
      <family val="2"/>
    </font>
    <font>
      <b/>
      <sz val="24"/>
      <color theme="0"/>
      <name val="Calibri"/>
      <family val="2"/>
    </font>
    <font>
      <sz val="24"/>
      <color theme="0"/>
      <name val="Calibri"/>
      <family val="2"/>
    </font>
    <font>
      <sz val="11"/>
      <color theme="2" tint="-0.499984740745262"/>
      <name val="Calibri"/>
      <family val="2"/>
    </font>
    <font>
      <b/>
      <sz val="11"/>
      <color theme="2" tint="-0.749992370372631"/>
      <name val="Calibri"/>
      <family val="2"/>
    </font>
    <font>
      <b/>
      <sz val="10"/>
      <color theme="2" tint="-0.749992370372631"/>
      <name val="Calibri"/>
      <family val="2"/>
    </font>
    <font>
      <sz val="11"/>
      <color theme="2" tint="-0.749992370372631"/>
      <name val="Calibri"/>
      <family val="2"/>
    </font>
    <font>
      <sz val="10"/>
      <color theme="2" tint="-0.749992370372631"/>
      <name val="Calibri"/>
      <family val="2"/>
    </font>
    <font>
      <i/>
      <sz val="10"/>
      <color theme="2" tint="-0.499984740745262"/>
      <name val="Calibri"/>
      <family val="2"/>
    </font>
    <font>
      <b/>
      <vertAlign val="subscript"/>
      <sz val="11"/>
      <color theme="1"/>
      <name val="Calibri"/>
      <family val="2"/>
    </font>
    <font>
      <b/>
      <sz val="11"/>
      <color theme="4" tint="-0.499984740745262"/>
      <name val="Arial"/>
      <family val="2"/>
    </font>
    <font>
      <b/>
      <vertAlign val="subscript"/>
      <sz val="11"/>
      <color theme="4" tint="-0.499984740745262"/>
      <name val="Arial"/>
      <family val="2"/>
    </font>
    <font>
      <sz val="11"/>
      <color theme="4" tint="-0.499984740745262"/>
      <name val="Calibri"/>
      <family val="2"/>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4">
    <border>
      <left/>
      <right/>
      <top/>
      <bottom/>
      <diagonal/>
    </border>
    <border>
      <left/>
      <right/>
      <top/>
      <bottom style="dashed">
        <color theme="4" tint="-0.499984740745262"/>
      </bottom>
      <diagonal/>
    </border>
    <border>
      <left/>
      <right/>
      <top/>
      <bottom style="thin">
        <color auto="1"/>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style="thin">
        <color theme="4" tint="-0.499984740745262"/>
      </bottom>
      <diagonal/>
    </border>
    <border>
      <left/>
      <right style="thin">
        <color theme="4" tint="-0.499984740745262"/>
      </right>
      <top/>
      <bottom style="thin">
        <color theme="4" tint="-0.499984740745262"/>
      </bottom>
      <diagonal/>
    </border>
    <border>
      <left/>
      <right/>
      <top style="thin">
        <color theme="4" tint="-0.499984740745262"/>
      </top>
      <bottom/>
      <diagonal/>
    </border>
    <border>
      <left/>
      <right/>
      <top/>
      <bottom style="thin">
        <color theme="2" tint="-0.499984740745262"/>
      </bottom>
      <diagonal/>
    </border>
    <border>
      <left/>
      <right/>
      <top style="dashed">
        <color theme="4" tint="-0.499984740745262"/>
      </top>
      <bottom/>
      <diagonal/>
    </border>
  </borders>
  <cellStyleXfs count="1">
    <xf numFmtId="0" fontId="0" fillId="0" borderId="0"/>
  </cellStyleXfs>
  <cellXfs count="67">
    <xf numFmtId="0" fontId="0" fillId="0" borderId="0" xfId="0"/>
    <xf numFmtId="164" fontId="0" fillId="0" borderId="0" xfId="0" applyNumberFormat="1"/>
    <xf numFmtId="10" fontId="0" fillId="0" borderId="0" xfId="0" applyNumberFormat="1"/>
    <xf numFmtId="14" fontId="0" fillId="0" borderId="0" xfId="0" applyNumberFormat="1"/>
    <xf numFmtId="2" fontId="0" fillId="0" borderId="0" xfId="0" applyNumberFormat="1"/>
    <xf numFmtId="0" fontId="5" fillId="0" borderId="0" xfId="0" applyFont="1"/>
    <xf numFmtId="0" fontId="2" fillId="0" borderId="0" xfId="0" applyFont="1"/>
    <xf numFmtId="0" fontId="1" fillId="2" borderId="0" xfId="0" applyFont="1" applyFill="1" applyAlignment="1">
      <alignment horizontal="center"/>
    </xf>
    <xf numFmtId="0" fontId="1" fillId="2" borderId="0" xfId="0" applyFont="1" applyFill="1"/>
    <xf numFmtId="164" fontId="2" fillId="0" borderId="0" xfId="0" applyNumberFormat="1" applyFont="1"/>
    <xf numFmtId="0" fontId="0" fillId="0" borderId="1" xfId="0" applyBorder="1"/>
    <xf numFmtId="0" fontId="2" fillId="0" borderId="2" xfId="0" applyFont="1" applyBorder="1"/>
    <xf numFmtId="164" fontId="2" fillId="0" borderId="2" xfId="0" applyNumberFormat="1" applyFont="1" applyBorder="1"/>
    <xf numFmtId="0" fontId="0" fillId="0" borderId="0" xfId="0" applyAlignment="1">
      <alignment wrapText="1"/>
    </xf>
    <xf numFmtId="0" fontId="0" fillId="0" borderId="3" xfId="0" applyBorder="1"/>
    <xf numFmtId="0" fontId="1" fillId="3" borderId="0" xfId="0" applyFont="1" applyFill="1" applyAlignment="1">
      <alignment horizontal="center"/>
    </xf>
    <xf numFmtId="164" fontId="0" fillId="0" borderId="3" xfId="0" applyNumberFormat="1" applyBorder="1"/>
    <xf numFmtId="9" fontId="0" fillId="0" borderId="3" xfId="0" applyNumberFormat="1" applyBorder="1"/>
    <xf numFmtId="0" fontId="2" fillId="0" borderId="3" xfId="0" applyFont="1" applyBorder="1"/>
    <xf numFmtId="0" fontId="16" fillId="0" borderId="0" xfId="0" applyFont="1"/>
    <xf numFmtId="0" fontId="15" fillId="0" borderId="0" xfId="0" applyFont="1"/>
    <xf numFmtId="0" fontId="17"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7" fillId="0" borderId="3" xfId="0" applyFont="1" applyBorder="1"/>
    <xf numFmtId="0" fontId="22" fillId="0" borderId="12" xfId="0" applyFont="1" applyBorder="1"/>
    <xf numFmtId="0" fontId="20" fillId="0" borderId="12" xfId="0" applyFont="1" applyBorder="1"/>
    <xf numFmtId="0" fontId="0" fillId="0" borderId="12" xfId="0" applyBorder="1"/>
    <xf numFmtId="164" fontId="2" fillId="0" borderId="4" xfId="0" applyNumberFormat="1" applyFont="1" applyBorder="1" applyAlignment="1">
      <alignment horizontal="center" wrapText="1"/>
    </xf>
    <xf numFmtId="164" fontId="0" fillId="0" borderId="7" xfId="0" applyNumberFormat="1" applyBorder="1" applyAlignment="1">
      <alignment horizontal="center" vertical="center" wrapText="1"/>
    </xf>
    <xf numFmtId="164" fontId="0" fillId="0" borderId="8" xfId="0" applyNumberFormat="1" applyBorder="1" applyAlignment="1">
      <alignment horizontal="center" vertical="center" wrapText="1"/>
    </xf>
    <xf numFmtId="0" fontId="2" fillId="0" borderId="4" xfId="0" applyFont="1" applyBorder="1" applyAlignment="1">
      <alignment wrapText="1"/>
    </xf>
    <xf numFmtId="0" fontId="0" fillId="0" borderId="4" xfId="0" applyBorder="1" applyAlignment="1">
      <alignment wrapText="1"/>
    </xf>
    <xf numFmtId="0" fontId="18" fillId="2" borderId="0" xfId="0" applyFont="1" applyFill="1" applyAlignment="1">
      <alignment horizontal="center" vertical="center" wrapText="1"/>
    </xf>
    <xf numFmtId="0" fontId="19" fillId="2" borderId="0" xfId="0" applyFont="1" applyFill="1" applyAlignment="1">
      <alignment horizontal="center" vertical="center" wrapText="1"/>
    </xf>
    <xf numFmtId="0" fontId="0" fillId="0" borderId="0" xfId="0" applyAlignment="1">
      <alignment wrapText="1"/>
    </xf>
    <xf numFmtId="0" fontId="2" fillId="0" borderId="5" xfId="0" applyFont="1" applyBorder="1" applyAlignment="1">
      <alignment wrapText="1"/>
    </xf>
    <xf numFmtId="0" fontId="0" fillId="0" borderId="6" xfId="0" applyBorder="1" applyAlignment="1">
      <alignment wrapText="1"/>
    </xf>
    <xf numFmtId="0" fontId="0" fillId="0" borderId="13" xfId="0" applyBorder="1" applyAlignment="1">
      <alignment wrapText="1"/>
    </xf>
    <xf numFmtId="0" fontId="0" fillId="0" borderId="3" xfId="0" applyBorder="1" applyAlignment="1">
      <alignment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left" vertical="center" wrapText="1"/>
    </xf>
    <xf numFmtId="0" fontId="0" fillId="0" borderId="3" xfId="0" applyBorder="1" applyAlignment="1">
      <alignment horizontal="left" vertical="center" wrapText="1"/>
    </xf>
    <xf numFmtId="0" fontId="10" fillId="2" borderId="0" xfId="0" applyFont="1" applyFill="1" applyAlignment="1">
      <alignment horizontal="center" vertical="center" wrapText="1"/>
    </xf>
    <xf numFmtId="0" fontId="2" fillId="0" borderId="0" xfId="0" applyFont="1" applyAlignment="1">
      <alignment wrapText="1"/>
    </xf>
    <xf numFmtId="0" fontId="9" fillId="0" borderId="0" xfId="0" applyFont="1" applyAlignment="1">
      <alignment wrapText="1"/>
    </xf>
    <xf numFmtId="0" fontId="1" fillId="2" borderId="0" xfId="0" applyFont="1" applyFill="1" applyAlignment="1">
      <alignment horizontal="center"/>
    </xf>
    <xf numFmtId="0" fontId="7" fillId="3" borderId="0" xfId="0" applyFont="1" applyFill="1" applyAlignment="1">
      <alignment horizontal="center" vertical="center" wrapText="1"/>
    </xf>
    <xf numFmtId="0" fontId="0" fillId="3" borderId="0" xfId="0" applyFill="1" applyAlignment="1">
      <alignment wrapText="1"/>
    </xf>
    <xf numFmtId="0" fontId="14" fillId="2" borderId="0" xfId="0" applyFont="1" applyFill="1" applyAlignment="1">
      <alignment horizontal="center" vertical="center" wrapText="1"/>
    </xf>
    <xf numFmtId="0" fontId="3" fillId="2" borderId="0" xfId="0" applyFont="1" applyFill="1" applyAlignment="1">
      <alignment wrapText="1"/>
    </xf>
    <xf numFmtId="0" fontId="25" fillId="0" borderId="0" xfId="0" applyFont="1"/>
    <xf numFmtId="0" fontId="0" fillId="0" borderId="0" xfId="0" applyAlignment="1"/>
    <xf numFmtId="0" fontId="29" fillId="0" borderId="0" xfId="0" applyFont="1" applyAlignment="1">
      <alignment wrapText="1"/>
    </xf>
    <xf numFmtId="0" fontId="29" fillId="0" borderId="0" xfId="0" applyFont="1"/>
    <xf numFmtId="169" fontId="0" fillId="0" borderId="0" xfId="0" applyNumberFormat="1"/>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17</xdr:row>
      <xdr:rowOff>38100</xdr:rowOff>
    </xdr:from>
    <xdr:to>
      <xdr:col>13</xdr:col>
      <xdr:colOff>705980</xdr:colOff>
      <xdr:row>31</xdr:row>
      <xdr:rowOff>157354</xdr:rowOff>
    </xdr:to>
    <xdr:pic>
      <xdr:nvPicPr>
        <xdr:cNvPr id="4" name="Picture 3">
          <a:extLst>
            <a:ext uri="{FF2B5EF4-FFF2-40B4-BE49-F238E27FC236}">
              <a16:creationId xmlns:a16="http://schemas.microsoft.com/office/drawing/2014/main" id="{EEA212A8-B2C7-A48E-0FC7-BA48CFA465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5200" y="3321050"/>
          <a:ext cx="4173080" cy="2697354"/>
        </a:xfrm>
        <a:prstGeom prst="rect">
          <a:avLst/>
        </a:prstGeom>
      </xdr:spPr>
    </xdr:pic>
    <xdr:clientData/>
  </xdr:twoCellAnchor>
  <xdr:twoCellAnchor editAs="oneCell">
    <xdr:from>
      <xdr:col>1</xdr:col>
      <xdr:colOff>65919</xdr:colOff>
      <xdr:row>17</xdr:row>
      <xdr:rowOff>63500</xdr:rowOff>
    </xdr:from>
    <xdr:to>
      <xdr:col>6</xdr:col>
      <xdr:colOff>425450</xdr:colOff>
      <xdr:row>31</xdr:row>
      <xdr:rowOff>127000</xdr:rowOff>
    </xdr:to>
    <xdr:pic>
      <xdr:nvPicPr>
        <xdr:cNvPr id="3" name="Picture 2">
          <a:extLst>
            <a:ext uri="{FF2B5EF4-FFF2-40B4-BE49-F238E27FC236}">
              <a16:creationId xmlns:a16="http://schemas.microsoft.com/office/drawing/2014/main" id="{6E138297-A851-333E-FC7B-827E5FB51C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569" y="3346450"/>
          <a:ext cx="4213981" cy="2641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8</xdr:row>
      <xdr:rowOff>107950</xdr:rowOff>
    </xdr:from>
    <xdr:to>
      <xdr:col>2</xdr:col>
      <xdr:colOff>133350</xdr:colOff>
      <xdr:row>10</xdr:row>
      <xdr:rowOff>91546</xdr:rowOff>
    </xdr:to>
    <xdr:pic>
      <xdr:nvPicPr>
        <xdr:cNvPr id="4" name="Picture 3" descr="A black text on a white background&#10;&#10;Description automatically generated">
          <a:extLst>
            <a:ext uri="{FF2B5EF4-FFF2-40B4-BE49-F238E27FC236}">
              <a16:creationId xmlns:a16="http://schemas.microsoft.com/office/drawing/2014/main" id="{11055BAB-9C35-F470-B082-99870A79F0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050" y="1447800"/>
          <a:ext cx="1333500" cy="3518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11</xdr:row>
      <xdr:rowOff>6350</xdr:rowOff>
    </xdr:from>
    <xdr:to>
      <xdr:col>6</xdr:col>
      <xdr:colOff>577850</xdr:colOff>
      <xdr:row>13</xdr:row>
      <xdr:rowOff>13335</xdr:rowOff>
    </xdr:to>
    <xdr:pic>
      <xdr:nvPicPr>
        <xdr:cNvPr id="2" name="Picture 1" descr="A math equation with a number and a plus&#10;&#10;Description automatically generated with medium confidence">
          <a:extLst>
            <a:ext uri="{FF2B5EF4-FFF2-40B4-BE49-F238E27FC236}">
              <a16:creationId xmlns:a16="http://schemas.microsoft.com/office/drawing/2014/main" id="{CD74AB14-15CC-1F5C-52F7-02F180922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11400" y="1790700"/>
          <a:ext cx="1790700" cy="375285"/>
        </a:xfrm>
        <a:prstGeom prst="rect">
          <a:avLst/>
        </a:prstGeom>
      </xdr:spPr>
    </xdr:pic>
    <xdr:clientData/>
  </xdr:twoCellAnchor>
  <xdr:twoCellAnchor editAs="oneCell">
    <xdr:from>
      <xdr:col>5</xdr:col>
      <xdr:colOff>69850</xdr:colOff>
      <xdr:row>13</xdr:row>
      <xdr:rowOff>82550</xdr:rowOff>
    </xdr:from>
    <xdr:to>
      <xdr:col>6</xdr:col>
      <xdr:colOff>25400</xdr:colOff>
      <xdr:row>14</xdr:row>
      <xdr:rowOff>174625</xdr:rowOff>
    </xdr:to>
    <xdr:pic>
      <xdr:nvPicPr>
        <xdr:cNvPr id="3" name="Picture 2" descr="A black text with a white background&#10;&#10;Description automatically generated">
          <a:extLst>
            <a:ext uri="{FF2B5EF4-FFF2-40B4-BE49-F238E27FC236}">
              <a16:creationId xmlns:a16="http://schemas.microsoft.com/office/drawing/2014/main" id="{64E755D8-70A3-2EE7-B984-D611A5FF38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68550" y="2235200"/>
          <a:ext cx="1181100" cy="276225"/>
        </a:xfrm>
        <a:prstGeom prst="rect">
          <a:avLst/>
        </a:prstGeom>
      </xdr:spPr>
    </xdr:pic>
    <xdr:clientData/>
  </xdr:twoCellAnchor>
  <xdr:twoCellAnchor editAs="oneCell">
    <xdr:from>
      <xdr:col>5</xdr:col>
      <xdr:colOff>31750</xdr:colOff>
      <xdr:row>9</xdr:row>
      <xdr:rowOff>12700</xdr:rowOff>
    </xdr:from>
    <xdr:to>
      <xdr:col>6</xdr:col>
      <xdr:colOff>762000</xdr:colOff>
      <xdr:row>10</xdr:row>
      <xdr:rowOff>40005</xdr:rowOff>
    </xdr:to>
    <xdr:pic>
      <xdr:nvPicPr>
        <xdr:cNvPr id="4" name="Picture 3">
          <a:extLst>
            <a:ext uri="{FF2B5EF4-FFF2-40B4-BE49-F238E27FC236}">
              <a16:creationId xmlns:a16="http://schemas.microsoft.com/office/drawing/2014/main" id="{2F5B79E7-0552-B149-B551-07392CDCBA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30450" y="1403350"/>
          <a:ext cx="1955800" cy="2368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506C-83DC-465C-AD02-58F88A5ABD00}">
  <dimension ref="A1:N60"/>
  <sheetViews>
    <sheetView showGridLines="0" tabSelected="1" topLeftCell="A15" zoomScaleNormal="100" workbookViewId="0">
      <selection activeCell="Q13" sqref="Q13"/>
    </sheetView>
  </sheetViews>
  <sheetFormatPr defaultRowHeight="14.5" x14ac:dyDescent="0.35"/>
  <cols>
    <col min="1" max="1" width="1.7265625" customWidth="1"/>
    <col min="2" max="2" width="17.54296875" bestFit="1" customWidth="1"/>
    <col min="3" max="3" width="10.6328125" customWidth="1"/>
    <col min="4" max="4" width="9.54296875" bestFit="1" customWidth="1"/>
    <col min="14" max="14" width="11.54296875" customWidth="1"/>
  </cols>
  <sheetData>
    <row r="1" spans="1:14" x14ac:dyDescent="0.35">
      <c r="B1" s="38" t="s">
        <v>247</v>
      </c>
      <c r="C1" s="39"/>
      <c r="D1" s="39"/>
      <c r="E1" s="39"/>
      <c r="F1" s="39"/>
      <c r="G1" s="39"/>
      <c r="H1" s="39"/>
      <c r="I1" s="39"/>
      <c r="J1" s="39"/>
      <c r="K1" s="39"/>
      <c r="L1" s="39"/>
      <c r="M1" s="39"/>
      <c r="N1" s="39"/>
    </row>
    <row r="2" spans="1:14" x14ac:dyDescent="0.35">
      <c r="B2" s="39"/>
      <c r="C2" s="39"/>
      <c r="D2" s="39"/>
      <c r="E2" s="39"/>
      <c r="F2" s="39"/>
      <c r="G2" s="39"/>
      <c r="H2" s="39"/>
      <c r="I2" s="39"/>
      <c r="J2" s="39"/>
      <c r="K2" s="39"/>
      <c r="L2" s="39"/>
      <c r="M2" s="39"/>
      <c r="N2" s="39"/>
    </row>
    <row r="3" spans="1:14" x14ac:dyDescent="0.35">
      <c r="B3" s="39"/>
      <c r="C3" s="39"/>
      <c r="D3" s="39"/>
      <c r="E3" s="39"/>
      <c r="F3" s="39"/>
      <c r="G3" s="39"/>
      <c r="H3" s="39"/>
      <c r="I3" s="39"/>
      <c r="J3" s="39"/>
      <c r="K3" s="39"/>
      <c r="L3" s="39"/>
      <c r="M3" s="39"/>
      <c r="N3" s="39"/>
    </row>
    <row r="5" spans="1:14" ht="18.5" x14ac:dyDescent="0.45">
      <c r="A5" s="19" t="s">
        <v>33</v>
      </c>
      <c r="B5" s="29" t="s">
        <v>249</v>
      </c>
      <c r="C5" s="14"/>
      <c r="D5" s="14"/>
      <c r="E5" s="14"/>
      <c r="F5" s="14"/>
      <c r="G5" s="14"/>
      <c r="H5" s="14"/>
      <c r="I5" s="14"/>
      <c r="J5" s="14"/>
      <c r="K5" s="14"/>
      <c r="L5" s="14"/>
      <c r="M5" s="14"/>
      <c r="N5" s="14"/>
    </row>
    <row r="6" spans="1:14" x14ac:dyDescent="0.35">
      <c r="B6" s="40" t="s">
        <v>248</v>
      </c>
      <c r="C6" s="40"/>
      <c r="D6" s="40"/>
      <c r="E6" s="40"/>
      <c r="F6" s="40"/>
      <c r="G6" s="40"/>
      <c r="H6" s="40"/>
      <c r="I6" s="40"/>
      <c r="J6" s="40"/>
      <c r="K6" s="40"/>
      <c r="L6" s="40"/>
      <c r="M6" s="40"/>
      <c r="N6" s="40"/>
    </row>
    <row r="7" spans="1:14" x14ac:dyDescent="0.35">
      <c r="B7" s="40"/>
      <c r="C7" s="40"/>
      <c r="D7" s="40"/>
      <c r="E7" s="40"/>
      <c r="F7" s="40"/>
      <c r="G7" s="40"/>
      <c r="H7" s="40"/>
      <c r="I7" s="40"/>
      <c r="J7" s="40"/>
      <c r="K7" s="40"/>
      <c r="L7" s="40"/>
      <c r="M7" s="40"/>
      <c r="N7" s="40"/>
    </row>
    <row r="9" spans="1:14" ht="18.5" x14ac:dyDescent="0.45">
      <c r="A9" s="19" t="s">
        <v>33</v>
      </c>
      <c r="B9" s="21" t="s">
        <v>250</v>
      </c>
    </row>
    <row r="10" spans="1:14" ht="14.5" customHeight="1" x14ac:dyDescent="0.35">
      <c r="B10" s="41" t="s">
        <v>251</v>
      </c>
      <c r="C10" s="42"/>
      <c r="D10" s="33" t="s">
        <v>252</v>
      </c>
      <c r="E10" s="33"/>
      <c r="F10" s="36" t="s">
        <v>253</v>
      </c>
      <c r="G10" s="37"/>
      <c r="H10" s="37"/>
      <c r="I10" s="37"/>
      <c r="J10" s="37"/>
      <c r="K10" s="37"/>
    </row>
    <row r="11" spans="1:14" ht="14.5" customHeight="1" x14ac:dyDescent="0.35">
      <c r="B11" s="45" t="s">
        <v>254</v>
      </c>
      <c r="C11" s="46"/>
      <c r="D11" s="34">
        <f>'Cost of Carry Model'!F5</f>
        <v>3.0081028009477091</v>
      </c>
      <c r="E11" s="35"/>
      <c r="F11" s="45" t="s">
        <v>255</v>
      </c>
      <c r="G11" s="51"/>
      <c r="H11" s="51"/>
      <c r="I11" s="51"/>
      <c r="J11" s="51"/>
      <c r="K11" s="46"/>
    </row>
    <row r="12" spans="1:14" x14ac:dyDescent="0.35">
      <c r="B12" s="47"/>
      <c r="C12" s="48"/>
      <c r="D12" s="49"/>
      <c r="E12" s="50"/>
      <c r="F12" s="47"/>
      <c r="G12" s="52"/>
      <c r="H12" s="52"/>
      <c r="I12" s="52"/>
      <c r="J12" s="52"/>
      <c r="K12" s="48"/>
    </row>
    <row r="13" spans="1:14" x14ac:dyDescent="0.35">
      <c r="B13" s="45" t="s">
        <v>256</v>
      </c>
      <c r="C13" s="46"/>
      <c r="D13" s="34">
        <f>'Black-Scholes Model'!J12</f>
        <v>0.34414844148441559</v>
      </c>
      <c r="E13" s="35"/>
      <c r="F13" s="45" t="s">
        <v>258</v>
      </c>
      <c r="G13" s="51"/>
      <c r="H13" s="51"/>
      <c r="I13" s="51"/>
      <c r="J13" s="51"/>
      <c r="K13" s="46"/>
    </row>
    <row r="14" spans="1:14" x14ac:dyDescent="0.35">
      <c r="B14" s="47"/>
      <c r="C14" s="48"/>
      <c r="D14" s="49"/>
      <c r="E14" s="50"/>
      <c r="F14" s="47"/>
      <c r="G14" s="52"/>
      <c r="H14" s="52"/>
      <c r="I14" s="52"/>
      <c r="J14" s="52"/>
      <c r="K14" s="48"/>
    </row>
    <row r="15" spans="1:14" x14ac:dyDescent="0.35">
      <c r="B15" s="45" t="s">
        <v>257</v>
      </c>
      <c r="C15" s="46"/>
      <c r="D15" s="34">
        <f ca="1">'Monte Carlo Simulation'!J11</f>
        <v>2.9987363714510327</v>
      </c>
      <c r="E15" s="35"/>
      <c r="F15" s="45" t="s">
        <v>259</v>
      </c>
      <c r="G15" s="51"/>
      <c r="H15" s="51"/>
      <c r="I15" s="51"/>
      <c r="J15" s="51"/>
      <c r="K15" s="46"/>
    </row>
    <row r="16" spans="1:14" x14ac:dyDescent="0.35">
      <c r="B16" s="47"/>
      <c r="C16" s="48"/>
      <c r="D16" s="27"/>
      <c r="E16" s="28"/>
      <c r="F16" s="47"/>
      <c r="G16" s="52"/>
      <c r="H16" s="52"/>
      <c r="I16" s="52"/>
      <c r="J16" s="52"/>
      <c r="K16" s="48"/>
    </row>
    <row r="17" spans="1:14" ht="18.5" x14ac:dyDescent="0.45">
      <c r="A17" s="19" t="s">
        <v>33</v>
      </c>
      <c r="B17" s="29" t="s">
        <v>260</v>
      </c>
      <c r="C17" s="14"/>
      <c r="D17" s="14"/>
      <c r="E17" s="14"/>
      <c r="F17" s="14"/>
      <c r="G17" s="14"/>
      <c r="H17" s="14"/>
      <c r="I17" s="14"/>
      <c r="J17" s="14"/>
      <c r="K17" s="14"/>
      <c r="L17" s="14"/>
      <c r="M17" s="14"/>
      <c r="N17" s="14"/>
    </row>
    <row r="18" spans="1:14" x14ac:dyDescent="0.35">
      <c r="B18" s="5"/>
    </row>
    <row r="19" spans="1:14" x14ac:dyDescent="0.35">
      <c r="B19" s="5"/>
    </row>
    <row r="22" spans="1:14" x14ac:dyDescent="0.35">
      <c r="B22" s="6"/>
    </row>
    <row r="33" spans="1:14" x14ac:dyDescent="0.35">
      <c r="B33" s="61" t="s">
        <v>274</v>
      </c>
      <c r="I33" s="61" t="s">
        <v>275</v>
      </c>
    </row>
    <row r="34" spans="1:14" x14ac:dyDescent="0.35">
      <c r="B34" s="61"/>
      <c r="H34" s="61"/>
    </row>
    <row r="35" spans="1:14" x14ac:dyDescent="0.35">
      <c r="B35" s="6" t="s">
        <v>278</v>
      </c>
    </row>
    <row r="36" spans="1:14" x14ac:dyDescent="0.35">
      <c r="B36" s="40" t="s">
        <v>276</v>
      </c>
      <c r="C36" s="40"/>
      <c r="D36" s="40"/>
      <c r="E36" s="40"/>
      <c r="F36" s="40"/>
      <c r="G36" s="40"/>
      <c r="H36" s="40"/>
      <c r="I36" s="40"/>
      <c r="J36" s="40"/>
      <c r="K36" s="40"/>
      <c r="L36" s="40"/>
      <c r="M36" s="40"/>
      <c r="N36" s="40"/>
    </row>
    <row r="37" spans="1:14" x14ac:dyDescent="0.35">
      <c r="B37" s="40"/>
      <c r="C37" s="40"/>
      <c r="D37" s="40"/>
      <c r="E37" s="40"/>
      <c r="F37" s="40"/>
      <c r="G37" s="40"/>
      <c r="H37" s="40"/>
      <c r="I37" s="40"/>
      <c r="J37" s="40"/>
      <c r="K37" s="40"/>
      <c r="L37" s="40"/>
      <c r="M37" s="40"/>
      <c r="N37" s="40"/>
    </row>
    <row r="38" spans="1:14" x14ac:dyDescent="0.35">
      <c r="B38" s="40"/>
      <c r="C38" s="40"/>
      <c r="D38" s="40"/>
      <c r="E38" s="40"/>
      <c r="F38" s="40"/>
      <c r="G38" s="40"/>
      <c r="H38" s="40"/>
      <c r="I38" s="40"/>
      <c r="J38" s="40"/>
      <c r="K38" s="40"/>
      <c r="L38" s="40"/>
      <c r="M38" s="40"/>
      <c r="N38" s="40"/>
    </row>
    <row r="39" spans="1:14" x14ac:dyDescent="0.35">
      <c r="B39" s="62"/>
      <c r="C39" s="62"/>
      <c r="D39" s="62"/>
      <c r="E39" s="62"/>
      <c r="F39" s="62"/>
      <c r="G39" s="62"/>
      <c r="H39" s="62"/>
      <c r="I39" s="62"/>
      <c r="J39" s="62"/>
      <c r="K39" s="62"/>
      <c r="L39" s="62"/>
      <c r="M39" s="62"/>
      <c r="N39" s="62"/>
    </row>
    <row r="40" spans="1:14" x14ac:dyDescent="0.35">
      <c r="B40" s="40" t="s">
        <v>277</v>
      </c>
      <c r="C40" s="40"/>
      <c r="D40" s="40"/>
      <c r="E40" s="40"/>
      <c r="F40" s="40"/>
      <c r="G40" s="40"/>
      <c r="H40" s="40"/>
      <c r="I40" s="40"/>
      <c r="J40" s="40"/>
      <c r="K40" s="40"/>
      <c r="L40" s="40"/>
      <c r="M40" s="40"/>
      <c r="N40" s="40"/>
    </row>
    <row r="41" spans="1:14" x14ac:dyDescent="0.35">
      <c r="B41" s="40"/>
      <c r="C41" s="40"/>
      <c r="D41" s="40"/>
      <c r="E41" s="40"/>
      <c r="F41" s="40"/>
      <c r="G41" s="40"/>
      <c r="H41" s="40"/>
      <c r="I41" s="40"/>
      <c r="J41" s="40"/>
      <c r="K41" s="40"/>
      <c r="L41" s="40"/>
      <c r="M41" s="40"/>
      <c r="N41" s="40"/>
    </row>
    <row r="43" spans="1:14" ht="18.5" x14ac:dyDescent="0.45">
      <c r="A43" s="19" t="s">
        <v>33</v>
      </c>
      <c r="B43" s="29" t="s">
        <v>261</v>
      </c>
      <c r="C43" s="14"/>
      <c r="D43" s="14"/>
      <c r="E43" s="14"/>
      <c r="F43" s="14"/>
      <c r="G43" s="14"/>
      <c r="H43" s="14"/>
      <c r="I43" s="14"/>
      <c r="J43" s="14"/>
      <c r="K43" s="14"/>
      <c r="L43" s="14"/>
      <c r="M43" s="14"/>
      <c r="N43" s="14"/>
    </row>
    <row r="44" spans="1:14" x14ac:dyDescent="0.35">
      <c r="B44" s="6" t="s">
        <v>262</v>
      </c>
    </row>
    <row r="45" spans="1:14" x14ac:dyDescent="0.35">
      <c r="B45" s="40" t="s">
        <v>264</v>
      </c>
      <c r="C45" s="40"/>
      <c r="D45" s="40"/>
      <c r="E45" s="40"/>
      <c r="F45" s="40"/>
      <c r="G45" s="40"/>
      <c r="H45" s="40"/>
      <c r="I45" s="40"/>
      <c r="J45" s="40"/>
      <c r="K45" s="40"/>
      <c r="L45" s="40"/>
      <c r="M45" s="40"/>
      <c r="N45" s="40"/>
    </row>
    <row r="46" spans="1:14" x14ac:dyDescent="0.35">
      <c r="B46" s="40"/>
      <c r="C46" s="40"/>
      <c r="D46" s="40"/>
      <c r="E46" s="40"/>
      <c r="F46" s="40"/>
      <c r="G46" s="40"/>
      <c r="H46" s="40"/>
      <c r="I46" s="40"/>
      <c r="J46" s="40"/>
      <c r="K46" s="40"/>
      <c r="L46" s="40"/>
      <c r="M46" s="40"/>
      <c r="N46" s="40"/>
    </row>
    <row r="47" spans="1:14" x14ac:dyDescent="0.35">
      <c r="B47" s="6" t="s">
        <v>263</v>
      </c>
    </row>
    <row r="49" spans="1:14" x14ac:dyDescent="0.35">
      <c r="A49" s="23" t="s">
        <v>33</v>
      </c>
      <c r="B49" s="30" t="s">
        <v>265</v>
      </c>
      <c r="C49" s="31"/>
      <c r="D49" s="32"/>
      <c r="E49" s="32"/>
      <c r="F49" s="32"/>
      <c r="G49" s="32"/>
      <c r="H49" s="32"/>
      <c r="I49" s="32"/>
      <c r="J49" s="32"/>
      <c r="K49" s="32"/>
      <c r="L49" s="32"/>
      <c r="M49" s="32"/>
      <c r="N49" s="32"/>
    </row>
    <row r="50" spans="1:14" x14ac:dyDescent="0.35">
      <c r="A50" s="25"/>
      <c r="B50" s="24" t="s">
        <v>266</v>
      </c>
      <c r="C50" s="22"/>
    </row>
    <row r="51" spans="1:14" x14ac:dyDescent="0.35">
      <c r="A51" s="25"/>
      <c r="B51" s="24" t="s">
        <v>268</v>
      </c>
      <c r="C51" s="22"/>
    </row>
    <row r="52" spans="1:14" x14ac:dyDescent="0.35">
      <c r="A52" s="25"/>
      <c r="B52" s="24" t="s">
        <v>269</v>
      </c>
      <c r="C52" s="22"/>
    </row>
    <row r="53" spans="1:14" x14ac:dyDescent="0.35">
      <c r="B53" s="20"/>
    </row>
    <row r="54" spans="1:14" x14ac:dyDescent="0.35">
      <c r="B54" s="24" t="s">
        <v>267</v>
      </c>
    </row>
    <row r="55" spans="1:14" x14ac:dyDescent="0.35">
      <c r="B55" s="24" t="s">
        <v>270</v>
      </c>
    </row>
    <row r="56" spans="1:14" x14ac:dyDescent="0.35">
      <c r="B56" s="26" t="s">
        <v>271</v>
      </c>
    </row>
    <row r="57" spans="1:14" x14ac:dyDescent="0.35">
      <c r="B57" s="26" t="s">
        <v>272</v>
      </c>
    </row>
    <row r="59" spans="1:14" x14ac:dyDescent="0.35">
      <c r="B59" s="43" t="s">
        <v>273</v>
      </c>
      <c r="C59" s="43"/>
      <c r="D59" s="43"/>
      <c r="E59" s="43"/>
      <c r="F59" s="43"/>
      <c r="G59" s="43"/>
      <c r="H59" s="43"/>
      <c r="I59" s="43"/>
      <c r="J59" s="43"/>
      <c r="K59" s="43"/>
      <c r="L59" s="43"/>
      <c r="M59" s="43"/>
      <c r="N59" s="43"/>
    </row>
    <row r="60" spans="1:14" x14ac:dyDescent="0.35">
      <c r="B60" s="44"/>
      <c r="C60" s="44"/>
      <c r="D60" s="44"/>
      <c r="E60" s="44"/>
      <c r="F60" s="44"/>
      <c r="G60" s="44"/>
      <c r="H60" s="44"/>
      <c r="I60" s="44"/>
      <c r="J60" s="44"/>
      <c r="K60" s="44"/>
      <c r="L60" s="44"/>
      <c r="M60" s="44"/>
      <c r="N60" s="44"/>
    </row>
  </sheetData>
  <mergeCells count="18">
    <mergeCell ref="B59:N60"/>
    <mergeCell ref="B11:C12"/>
    <mergeCell ref="B13:C14"/>
    <mergeCell ref="B15:C16"/>
    <mergeCell ref="D11:E12"/>
    <mergeCell ref="D13:E14"/>
    <mergeCell ref="F11:K12"/>
    <mergeCell ref="F13:K14"/>
    <mergeCell ref="F15:K16"/>
    <mergeCell ref="B45:N46"/>
    <mergeCell ref="B36:N38"/>
    <mergeCell ref="B40:N41"/>
    <mergeCell ref="D10:E10"/>
    <mergeCell ref="D15:E15"/>
    <mergeCell ref="F10:K10"/>
    <mergeCell ref="B1:N3"/>
    <mergeCell ref="B6:N7"/>
    <mergeCell ref="B10:C10"/>
  </mergeCells>
  <pageMargins left="0.7" right="0.7" top="0.75" bottom="0.75" header="0.3" footer="0.3"/>
  <pageSetup scale="6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0ED1-672F-49E3-85C1-054056FC4421}">
  <dimension ref="A1:Q101"/>
  <sheetViews>
    <sheetView showGridLines="0" zoomScale="98" zoomScaleNormal="98" workbookViewId="0">
      <selection activeCell="K12" sqref="K12"/>
    </sheetView>
  </sheetViews>
  <sheetFormatPr defaultRowHeight="14.5" x14ac:dyDescent="0.35"/>
  <cols>
    <col min="1" max="1" width="1.7265625" customWidth="1"/>
    <col min="14" max="14" width="11.7265625" customWidth="1"/>
    <col min="16" max="16" width="15.7265625" customWidth="1"/>
    <col min="17" max="17" width="12.08984375" customWidth="1"/>
  </cols>
  <sheetData>
    <row r="1" spans="1:17" x14ac:dyDescent="0.35">
      <c r="B1" s="53" t="s">
        <v>19</v>
      </c>
      <c r="C1" s="53"/>
      <c r="D1" s="53"/>
      <c r="E1" s="53"/>
      <c r="F1" s="53"/>
      <c r="G1" s="53"/>
      <c r="H1" s="53"/>
      <c r="I1" s="53"/>
      <c r="J1" s="53"/>
      <c r="K1" s="53"/>
      <c r="L1" s="53"/>
      <c r="M1" s="53"/>
      <c r="N1" s="53"/>
      <c r="O1" s="53"/>
      <c r="P1" s="53"/>
      <c r="Q1" s="53"/>
    </row>
    <row r="2" spans="1:17" x14ac:dyDescent="0.35">
      <c r="B2" s="53"/>
      <c r="C2" s="53"/>
      <c r="D2" s="53"/>
      <c r="E2" s="53"/>
      <c r="F2" s="53"/>
      <c r="G2" s="53"/>
      <c r="H2" s="53"/>
      <c r="I2" s="53"/>
      <c r="J2" s="53"/>
      <c r="K2" s="53"/>
      <c r="L2" s="53"/>
      <c r="M2" s="53"/>
      <c r="N2" s="53"/>
      <c r="O2" s="53"/>
      <c r="P2" s="53"/>
      <c r="Q2" s="53"/>
    </row>
    <row r="3" spans="1:17" x14ac:dyDescent="0.35">
      <c r="A3" s="19" t="s">
        <v>33</v>
      </c>
      <c r="B3" t="s">
        <v>283</v>
      </c>
    </row>
    <row r="5" spans="1:17" x14ac:dyDescent="0.35">
      <c r="A5" s="19" t="s">
        <v>33</v>
      </c>
      <c r="B5" s="19" t="s">
        <v>20</v>
      </c>
    </row>
    <row r="6" spans="1:17" x14ac:dyDescent="0.35">
      <c r="B6" s="40" t="s">
        <v>21</v>
      </c>
      <c r="C6" s="40"/>
      <c r="D6" s="40"/>
      <c r="E6" s="40"/>
      <c r="F6" s="40"/>
      <c r="G6" s="40"/>
      <c r="H6" s="40"/>
      <c r="I6" s="40"/>
      <c r="J6" s="40"/>
      <c r="K6" s="40"/>
      <c r="L6" s="40"/>
      <c r="M6" s="40"/>
      <c r="N6" s="40"/>
      <c r="O6" s="40"/>
      <c r="P6" s="40"/>
      <c r="Q6" s="40"/>
    </row>
    <row r="7" spans="1:17" x14ac:dyDescent="0.35">
      <c r="B7" s="40"/>
      <c r="C7" s="40"/>
      <c r="D7" s="40"/>
      <c r="E7" s="40"/>
      <c r="F7" s="40"/>
      <c r="G7" s="40"/>
      <c r="H7" s="40"/>
      <c r="I7" s="40"/>
      <c r="J7" s="40"/>
      <c r="K7" s="40"/>
      <c r="L7" s="40"/>
      <c r="M7" s="40"/>
      <c r="N7" s="40"/>
      <c r="O7" s="40"/>
      <c r="P7" s="40"/>
      <c r="Q7" s="40"/>
    </row>
    <row r="8" spans="1:17" x14ac:dyDescent="0.35">
      <c r="B8" s="44"/>
      <c r="C8" s="44"/>
      <c r="D8" s="44"/>
      <c r="E8" s="44"/>
      <c r="F8" s="44"/>
      <c r="G8" s="44"/>
      <c r="H8" s="44"/>
      <c r="I8" s="44"/>
      <c r="J8" s="44"/>
      <c r="K8" s="44"/>
      <c r="L8" s="44"/>
      <c r="M8" s="44"/>
      <c r="N8" s="44"/>
      <c r="O8" s="44"/>
      <c r="P8" s="44"/>
      <c r="Q8" s="44"/>
    </row>
    <row r="9" spans="1:17" x14ac:dyDescent="0.35">
      <c r="A9" s="19" t="s">
        <v>33</v>
      </c>
      <c r="B9" s="19" t="s">
        <v>22</v>
      </c>
    </row>
    <row r="10" spans="1:17" ht="16.5" x14ac:dyDescent="0.45">
      <c r="B10" t="s">
        <v>25</v>
      </c>
      <c r="E10" s="1">
        <v>2.94</v>
      </c>
    </row>
    <row r="11" spans="1:17" x14ac:dyDescent="0.35">
      <c r="B11" t="s">
        <v>24</v>
      </c>
      <c r="E11">
        <v>3.5799999999999998E-2</v>
      </c>
    </row>
    <row r="12" spans="1:17" x14ac:dyDescent="0.35">
      <c r="B12" t="s">
        <v>23</v>
      </c>
      <c r="E12">
        <v>0.01</v>
      </c>
    </row>
    <row r="13" spans="1:17" x14ac:dyDescent="0.35">
      <c r="B13" t="s">
        <v>26</v>
      </c>
      <c r="E13">
        <v>0.5</v>
      </c>
    </row>
    <row r="14" spans="1:17" x14ac:dyDescent="0.35">
      <c r="B14" s="40" t="s">
        <v>279</v>
      </c>
      <c r="C14" s="40"/>
      <c r="D14" s="40"/>
      <c r="E14" s="40"/>
      <c r="F14" s="40"/>
      <c r="G14" s="40"/>
      <c r="H14" s="40"/>
      <c r="I14" s="40"/>
      <c r="J14" s="40"/>
      <c r="K14" s="40"/>
      <c r="L14" s="40"/>
      <c r="M14" s="40"/>
      <c r="N14" s="40"/>
      <c r="O14" s="40"/>
      <c r="P14" s="40"/>
      <c r="Q14" s="40"/>
    </row>
    <row r="15" spans="1:17" x14ac:dyDescent="0.35">
      <c r="B15" s="44"/>
      <c r="C15" s="44"/>
      <c r="D15" s="44"/>
      <c r="E15" s="44"/>
      <c r="F15" s="44"/>
      <c r="G15" s="44"/>
      <c r="H15" s="44"/>
      <c r="I15" s="44"/>
      <c r="J15" s="44"/>
      <c r="K15" s="44"/>
      <c r="L15" s="44"/>
      <c r="M15" s="44"/>
      <c r="N15" s="44"/>
      <c r="O15" s="44"/>
      <c r="P15" s="44"/>
      <c r="Q15" s="44"/>
    </row>
    <row r="16" spans="1:17" x14ac:dyDescent="0.35">
      <c r="A16" s="19" t="s">
        <v>33</v>
      </c>
      <c r="B16" s="19" t="s">
        <v>27</v>
      </c>
    </row>
    <row r="17" spans="1:17" x14ac:dyDescent="0.35">
      <c r="B17" s="6" t="s">
        <v>28</v>
      </c>
    </row>
    <row r="18" spans="1:17" x14ac:dyDescent="0.35">
      <c r="B18" s="40" t="s">
        <v>29</v>
      </c>
      <c r="C18" s="40"/>
      <c r="D18" s="40"/>
      <c r="E18" s="40"/>
      <c r="F18" s="40"/>
      <c r="G18" s="40"/>
      <c r="H18" s="40"/>
      <c r="I18" s="40"/>
      <c r="J18" s="40"/>
      <c r="K18" s="40"/>
      <c r="L18" s="40"/>
      <c r="M18" s="40"/>
      <c r="N18" s="40"/>
      <c r="O18" s="40"/>
      <c r="P18" s="40"/>
      <c r="Q18" s="40"/>
    </row>
    <row r="19" spans="1:17" x14ac:dyDescent="0.35">
      <c r="B19" s="40"/>
      <c r="C19" s="40"/>
      <c r="D19" s="40"/>
      <c r="E19" s="40"/>
      <c r="F19" s="40"/>
      <c r="G19" s="40"/>
      <c r="H19" s="40"/>
      <c r="I19" s="40"/>
      <c r="J19" s="40"/>
      <c r="K19" s="40"/>
      <c r="L19" s="40"/>
      <c r="M19" s="40"/>
      <c r="N19" s="40"/>
      <c r="O19" s="40"/>
      <c r="P19" s="40"/>
      <c r="Q19" s="40"/>
    </row>
    <row r="20" spans="1:17" x14ac:dyDescent="0.35">
      <c r="B20" s="13"/>
      <c r="C20" s="13"/>
      <c r="D20" s="13"/>
      <c r="E20" s="13"/>
      <c r="F20" s="13"/>
      <c r="G20" s="13"/>
      <c r="H20" s="13"/>
      <c r="I20" s="13"/>
      <c r="J20" s="13"/>
      <c r="K20" s="13"/>
      <c r="L20" s="13"/>
      <c r="M20" s="13"/>
      <c r="N20" s="13"/>
      <c r="O20" s="13"/>
      <c r="P20" s="13"/>
      <c r="Q20" s="13"/>
    </row>
    <row r="21" spans="1:17" x14ac:dyDescent="0.35">
      <c r="B21" s="6" t="s">
        <v>51</v>
      </c>
    </row>
    <row r="22" spans="1:17" x14ac:dyDescent="0.35">
      <c r="B22" s="54" t="s">
        <v>30</v>
      </c>
      <c r="C22" s="40"/>
      <c r="D22" s="40"/>
      <c r="E22" s="40"/>
      <c r="F22" s="40"/>
      <c r="G22" s="40"/>
      <c r="H22" s="40"/>
      <c r="I22" s="40"/>
      <c r="J22" s="40"/>
      <c r="K22" s="40"/>
      <c r="L22" s="40"/>
      <c r="M22" s="40"/>
      <c r="N22" s="40"/>
      <c r="O22" s="40"/>
      <c r="P22" s="40"/>
      <c r="Q22" s="40"/>
    </row>
    <row r="23" spans="1:17" x14ac:dyDescent="0.35">
      <c r="B23" s="44"/>
      <c r="C23" s="44"/>
      <c r="D23" s="44"/>
      <c r="E23" s="44"/>
      <c r="F23" s="44"/>
      <c r="G23" s="44"/>
      <c r="H23" s="44"/>
      <c r="I23" s="44"/>
      <c r="J23" s="44"/>
      <c r="K23" s="44"/>
      <c r="L23" s="44"/>
      <c r="M23" s="44"/>
      <c r="N23" s="44"/>
      <c r="O23" s="44"/>
      <c r="P23" s="44"/>
      <c r="Q23" s="44"/>
    </row>
    <row r="24" spans="1:17" x14ac:dyDescent="0.35">
      <c r="A24" s="19" t="s">
        <v>33</v>
      </c>
      <c r="B24" s="19" t="s">
        <v>31</v>
      </c>
    </row>
    <row r="25" spans="1:17" x14ac:dyDescent="0.35">
      <c r="B25" s="6" t="s">
        <v>32</v>
      </c>
    </row>
    <row r="26" spans="1:17" x14ac:dyDescent="0.35">
      <c r="B26" s="40" t="s">
        <v>280</v>
      </c>
      <c r="C26" s="40"/>
      <c r="D26" s="40"/>
      <c r="E26" s="40"/>
      <c r="F26" s="40"/>
      <c r="G26" s="40"/>
      <c r="H26" s="40"/>
      <c r="I26" s="40"/>
      <c r="J26" s="40"/>
      <c r="K26" s="40"/>
      <c r="L26" s="40"/>
      <c r="M26" s="40"/>
      <c r="N26" s="40"/>
      <c r="O26" s="40"/>
      <c r="P26" s="40"/>
      <c r="Q26" s="40"/>
    </row>
    <row r="27" spans="1:17" x14ac:dyDescent="0.35">
      <c r="B27" s="40"/>
      <c r="C27" s="40"/>
      <c r="D27" s="40"/>
      <c r="E27" s="40"/>
      <c r="F27" s="40"/>
      <c r="G27" s="40"/>
      <c r="H27" s="40"/>
      <c r="I27" s="40"/>
      <c r="J27" s="40"/>
      <c r="K27" s="40"/>
      <c r="L27" s="40"/>
      <c r="M27" s="40"/>
      <c r="N27" s="40"/>
      <c r="O27" s="40"/>
      <c r="P27" s="40"/>
      <c r="Q27" s="40"/>
    </row>
    <row r="28" spans="1:17" x14ac:dyDescent="0.35">
      <c r="B28" s="13"/>
      <c r="C28" s="13"/>
      <c r="D28" s="13"/>
      <c r="E28" s="13"/>
      <c r="F28" s="13"/>
      <c r="G28" s="13"/>
      <c r="H28" s="13"/>
      <c r="I28" s="13"/>
      <c r="J28" s="13"/>
      <c r="K28" s="13"/>
      <c r="L28" s="13"/>
      <c r="M28" s="13"/>
      <c r="N28" s="13"/>
      <c r="O28" s="13"/>
      <c r="P28" s="13"/>
      <c r="Q28" s="13"/>
    </row>
    <row r="29" spans="1:17" x14ac:dyDescent="0.35">
      <c r="B29" s="6" t="s">
        <v>34</v>
      </c>
    </row>
    <row r="30" spans="1:17" x14ac:dyDescent="0.35">
      <c r="B30" s="54" t="s">
        <v>281</v>
      </c>
      <c r="C30" s="40"/>
      <c r="D30" s="40"/>
      <c r="E30" s="40"/>
      <c r="F30" s="40"/>
      <c r="G30" s="40"/>
      <c r="H30" s="40"/>
      <c r="I30" s="40"/>
      <c r="J30" s="40"/>
      <c r="K30" s="40"/>
      <c r="L30" s="40"/>
      <c r="M30" s="40"/>
      <c r="N30" s="40"/>
      <c r="O30" s="40"/>
      <c r="P30" s="40"/>
      <c r="Q30" s="40"/>
    </row>
    <row r="31" spans="1:17" x14ac:dyDescent="0.35">
      <c r="B31" s="40"/>
      <c r="C31" s="40"/>
      <c r="D31" s="40"/>
      <c r="E31" s="40"/>
      <c r="F31" s="40"/>
      <c r="G31" s="40"/>
      <c r="H31" s="40"/>
      <c r="I31" s="40"/>
      <c r="J31" s="40"/>
      <c r="K31" s="40"/>
      <c r="L31" s="40"/>
      <c r="M31" s="40"/>
      <c r="N31" s="40"/>
      <c r="O31" s="40"/>
      <c r="P31" s="40"/>
      <c r="Q31" s="40"/>
    </row>
    <row r="32" spans="1:17" x14ac:dyDescent="0.35">
      <c r="B32" s="40"/>
      <c r="C32" s="40"/>
      <c r="D32" s="40"/>
      <c r="E32" s="40"/>
      <c r="F32" s="40"/>
      <c r="G32" s="40"/>
      <c r="H32" s="40"/>
      <c r="I32" s="40"/>
      <c r="J32" s="40"/>
      <c r="K32" s="40"/>
      <c r="L32" s="40"/>
      <c r="M32" s="40"/>
      <c r="N32" s="40"/>
      <c r="O32" s="40"/>
      <c r="P32" s="40"/>
      <c r="Q32" s="40"/>
    </row>
    <row r="34" spans="1:17" x14ac:dyDescent="0.35">
      <c r="B34" s="53" t="s">
        <v>54</v>
      </c>
      <c r="C34" s="53"/>
      <c r="D34" s="53"/>
      <c r="E34" s="53"/>
      <c r="F34" s="53"/>
      <c r="G34" s="53"/>
      <c r="H34" s="53"/>
      <c r="I34" s="53"/>
      <c r="J34" s="53"/>
      <c r="K34" s="53"/>
      <c r="L34" s="53"/>
      <c r="M34" s="53"/>
      <c r="N34" s="53"/>
      <c r="O34" s="53"/>
      <c r="P34" s="53"/>
      <c r="Q34" s="53"/>
    </row>
    <row r="35" spans="1:17" x14ac:dyDescent="0.35">
      <c r="B35" s="53"/>
      <c r="C35" s="53"/>
      <c r="D35" s="53"/>
      <c r="E35" s="53"/>
      <c r="F35" s="53"/>
      <c r="G35" s="53"/>
      <c r="H35" s="53"/>
      <c r="I35" s="53"/>
      <c r="J35" s="53"/>
      <c r="K35" s="53"/>
      <c r="L35" s="53"/>
      <c r="M35" s="53"/>
      <c r="N35" s="53"/>
      <c r="O35" s="53"/>
      <c r="P35" s="53"/>
      <c r="Q35" s="53"/>
    </row>
    <row r="37" spans="1:17" x14ac:dyDescent="0.35">
      <c r="A37" s="19" t="s">
        <v>33</v>
      </c>
      <c r="B37" s="6" t="s">
        <v>35</v>
      </c>
    </row>
    <row r="39" spans="1:17" x14ac:dyDescent="0.35">
      <c r="A39" s="19" t="s">
        <v>33</v>
      </c>
      <c r="B39" s="19" t="s">
        <v>17</v>
      </c>
    </row>
    <row r="40" spans="1:17" x14ac:dyDescent="0.35">
      <c r="B40" s="40" t="s">
        <v>18</v>
      </c>
      <c r="C40" s="40"/>
      <c r="D40" s="40"/>
      <c r="E40" s="40"/>
      <c r="F40" s="40"/>
      <c r="G40" s="40"/>
      <c r="H40" s="40"/>
      <c r="I40" s="40"/>
      <c r="J40" s="40"/>
      <c r="K40" s="40"/>
      <c r="L40" s="40"/>
      <c r="M40" s="40"/>
      <c r="N40" s="40"/>
      <c r="O40" s="40"/>
      <c r="P40" s="40"/>
      <c r="Q40" s="40"/>
    </row>
    <row r="41" spans="1:17" x14ac:dyDescent="0.35">
      <c r="B41" s="40"/>
      <c r="C41" s="40"/>
      <c r="D41" s="40"/>
      <c r="E41" s="40"/>
      <c r="F41" s="40"/>
      <c r="G41" s="40"/>
      <c r="H41" s="40"/>
      <c r="I41" s="40"/>
      <c r="J41" s="40"/>
      <c r="K41" s="40"/>
      <c r="L41" s="40"/>
      <c r="M41" s="40"/>
      <c r="N41" s="40"/>
      <c r="O41" s="40"/>
      <c r="P41" s="40"/>
      <c r="Q41" s="40"/>
    </row>
    <row r="42" spans="1:17" x14ac:dyDescent="0.35">
      <c r="B42" s="44"/>
      <c r="C42" s="44"/>
      <c r="D42" s="44"/>
      <c r="E42" s="44"/>
      <c r="F42" s="44"/>
      <c r="G42" s="44"/>
      <c r="H42" s="44"/>
      <c r="I42" s="44"/>
      <c r="J42" s="44"/>
      <c r="K42" s="44"/>
      <c r="L42" s="44"/>
      <c r="M42" s="44"/>
      <c r="N42" s="44"/>
      <c r="O42" s="44"/>
      <c r="P42" s="44"/>
      <c r="Q42" s="44"/>
    </row>
    <row r="43" spans="1:17" x14ac:dyDescent="0.35">
      <c r="A43" s="19" t="s">
        <v>33</v>
      </c>
      <c r="B43" s="19" t="s">
        <v>36</v>
      </c>
    </row>
    <row r="44" spans="1:17" ht="16.5" x14ac:dyDescent="0.45">
      <c r="A44" s="6"/>
      <c r="B44" t="s">
        <v>6</v>
      </c>
      <c r="E44" s="1">
        <f>'Black-Scholes Model'!G7</f>
        <v>2.95</v>
      </c>
    </row>
    <row r="45" spans="1:17" ht="16.5" x14ac:dyDescent="0.45">
      <c r="A45" s="6"/>
      <c r="B45" t="s">
        <v>11</v>
      </c>
      <c r="E45" s="65">
        <f>'Black-Scholes Model'!J9</f>
        <v>0.57579140968610876</v>
      </c>
    </row>
    <row r="46" spans="1:17" ht="16.5" x14ac:dyDescent="0.45">
      <c r="A46" s="6"/>
      <c r="B46" s="66" t="s">
        <v>12</v>
      </c>
      <c r="E46" s="65">
        <f>'Black-Scholes Model'!J10</f>
        <v>0.46543627274628957</v>
      </c>
    </row>
    <row r="47" spans="1:17" ht="16.5" x14ac:dyDescent="0.45">
      <c r="B47" t="s">
        <v>25</v>
      </c>
      <c r="E47" s="1">
        <v>2.94</v>
      </c>
    </row>
    <row r="48" spans="1:17" x14ac:dyDescent="0.35">
      <c r="B48" t="s">
        <v>24</v>
      </c>
      <c r="E48">
        <v>3.5799999999999998E-2</v>
      </c>
    </row>
    <row r="49" spans="1:17" x14ac:dyDescent="0.35">
      <c r="B49" t="s">
        <v>23</v>
      </c>
      <c r="E49">
        <v>0.01</v>
      </c>
    </row>
    <row r="50" spans="1:17" x14ac:dyDescent="0.35">
      <c r="B50" t="s">
        <v>26</v>
      </c>
      <c r="E50">
        <v>0.5</v>
      </c>
      <c r="F50" t="s">
        <v>39</v>
      </c>
    </row>
    <row r="51" spans="1:17" x14ac:dyDescent="0.35">
      <c r="B51" t="s">
        <v>37</v>
      </c>
      <c r="E51" s="2">
        <v>0.39290000000000003</v>
      </c>
    </row>
    <row r="52" spans="1:17" x14ac:dyDescent="0.35">
      <c r="B52" s="40" t="s">
        <v>38</v>
      </c>
      <c r="C52" s="40"/>
      <c r="D52" s="40"/>
      <c r="E52" s="40"/>
      <c r="F52" s="40"/>
      <c r="G52" s="40"/>
      <c r="H52" s="40"/>
      <c r="I52" s="40"/>
      <c r="J52" s="40"/>
      <c r="K52" s="40"/>
      <c r="L52" s="40"/>
      <c r="M52" s="40"/>
      <c r="N52" s="40"/>
      <c r="O52" s="40"/>
      <c r="P52" s="40"/>
      <c r="Q52" s="40"/>
    </row>
    <row r="53" spans="1:17" x14ac:dyDescent="0.35">
      <c r="B53" s="44"/>
      <c r="C53" s="44"/>
      <c r="D53" s="44"/>
      <c r="E53" s="44"/>
      <c r="F53" s="44"/>
      <c r="G53" s="44"/>
      <c r="H53" s="44"/>
      <c r="I53" s="44"/>
      <c r="J53" s="44"/>
      <c r="K53" s="44"/>
      <c r="L53" s="44"/>
      <c r="M53" s="44"/>
      <c r="N53" s="44"/>
      <c r="O53" s="44"/>
      <c r="P53" s="44"/>
      <c r="Q53" s="44"/>
    </row>
    <row r="54" spans="1:17" s="64" customFormat="1" ht="17" x14ac:dyDescent="0.45">
      <c r="A54" s="19" t="s">
        <v>33</v>
      </c>
      <c r="B54" s="19" t="s">
        <v>284</v>
      </c>
      <c r="C54" s="63"/>
      <c r="D54" s="63"/>
      <c r="E54" s="63"/>
      <c r="F54" s="63"/>
      <c r="G54" s="63"/>
      <c r="H54" s="63"/>
      <c r="I54" s="63"/>
      <c r="J54" s="63"/>
      <c r="K54" s="63"/>
      <c r="L54" s="63"/>
      <c r="M54" s="63"/>
      <c r="N54" s="63"/>
      <c r="O54" s="63"/>
      <c r="P54" s="63"/>
      <c r="Q54" s="63"/>
    </row>
    <row r="55" spans="1:17" ht="17" x14ac:dyDescent="0.45">
      <c r="B55" s="6" t="s">
        <v>41</v>
      </c>
    </row>
    <row r="56" spans="1:17" x14ac:dyDescent="0.35">
      <c r="B56" s="40" t="s">
        <v>40</v>
      </c>
      <c r="C56" s="40"/>
      <c r="D56" s="40"/>
      <c r="E56" s="40"/>
      <c r="F56" s="40"/>
      <c r="G56" s="40"/>
      <c r="H56" s="40"/>
      <c r="I56" s="40"/>
      <c r="J56" s="40"/>
      <c r="K56" s="40"/>
      <c r="L56" s="40"/>
      <c r="M56" s="40"/>
      <c r="N56" s="40"/>
      <c r="O56" s="40"/>
      <c r="P56" s="40"/>
      <c r="Q56" s="40"/>
    </row>
    <row r="57" spans="1:17" x14ac:dyDescent="0.35">
      <c r="B57" s="40"/>
      <c r="C57" s="40"/>
      <c r="D57" s="40"/>
      <c r="E57" s="40"/>
      <c r="F57" s="40"/>
      <c r="G57" s="40"/>
      <c r="H57" s="40"/>
      <c r="I57" s="40"/>
      <c r="J57" s="40"/>
      <c r="K57" s="40"/>
      <c r="L57" s="40"/>
      <c r="M57" s="40"/>
      <c r="N57" s="40"/>
      <c r="O57" s="40"/>
      <c r="P57" s="40"/>
      <c r="Q57" s="40"/>
    </row>
    <row r="58" spans="1:17" x14ac:dyDescent="0.35">
      <c r="B58" s="13"/>
      <c r="C58" s="13"/>
      <c r="D58" s="13"/>
      <c r="E58" s="13"/>
      <c r="F58" s="13"/>
      <c r="G58" s="13"/>
      <c r="H58" s="13"/>
      <c r="I58" s="13"/>
      <c r="J58" s="13"/>
      <c r="K58" s="13"/>
      <c r="L58" s="13"/>
      <c r="M58" s="13"/>
      <c r="N58" s="13"/>
      <c r="O58" s="13"/>
      <c r="P58" s="13"/>
      <c r="Q58" s="13"/>
    </row>
    <row r="59" spans="1:17" ht="17" x14ac:dyDescent="0.45">
      <c r="B59" s="6" t="s">
        <v>42</v>
      </c>
    </row>
    <row r="60" spans="1:17" x14ac:dyDescent="0.35">
      <c r="B60" s="40" t="s">
        <v>43</v>
      </c>
      <c r="C60" s="40"/>
      <c r="D60" s="40"/>
      <c r="E60" s="40"/>
      <c r="F60" s="40"/>
      <c r="G60" s="40"/>
      <c r="H60" s="40"/>
      <c r="I60" s="40"/>
      <c r="J60" s="40"/>
      <c r="K60" s="40"/>
      <c r="L60" s="40"/>
      <c r="M60" s="40"/>
      <c r="N60" s="40"/>
      <c r="O60" s="40"/>
      <c r="P60" s="40"/>
      <c r="Q60" s="40"/>
    </row>
    <row r="61" spans="1:17" x14ac:dyDescent="0.35">
      <c r="B61" s="44"/>
      <c r="C61" s="44"/>
      <c r="D61" s="44"/>
      <c r="E61" s="44"/>
      <c r="F61" s="44"/>
      <c r="G61" s="44"/>
      <c r="H61" s="44"/>
      <c r="I61" s="44"/>
      <c r="J61" s="44"/>
      <c r="K61" s="44"/>
      <c r="L61" s="44"/>
      <c r="M61" s="44"/>
      <c r="N61" s="44"/>
      <c r="O61" s="44"/>
      <c r="P61" s="44"/>
      <c r="Q61" s="44"/>
    </row>
    <row r="62" spans="1:17" s="64" customFormat="1" x14ac:dyDescent="0.35">
      <c r="A62" s="19" t="s">
        <v>33</v>
      </c>
      <c r="B62" s="19" t="s">
        <v>44</v>
      </c>
    </row>
    <row r="63" spans="1:17" x14ac:dyDescent="0.35">
      <c r="B63" s="6" t="s">
        <v>45</v>
      </c>
    </row>
    <row r="64" spans="1:17" x14ac:dyDescent="0.35">
      <c r="B64" s="54" t="s">
        <v>46</v>
      </c>
      <c r="C64" s="40"/>
      <c r="D64" s="40"/>
      <c r="E64" s="40"/>
      <c r="F64" s="40"/>
      <c r="G64" s="40"/>
      <c r="H64" s="40"/>
      <c r="I64" s="40"/>
      <c r="J64" s="40"/>
      <c r="K64" s="40"/>
      <c r="L64" s="40"/>
      <c r="M64" s="40"/>
      <c r="N64" s="40"/>
      <c r="O64" s="40"/>
      <c r="P64" s="40"/>
      <c r="Q64" s="40"/>
    </row>
    <row r="65" spans="1:17" x14ac:dyDescent="0.35">
      <c r="B65" s="40"/>
      <c r="C65" s="40"/>
      <c r="D65" s="40"/>
      <c r="E65" s="40"/>
      <c r="F65" s="40"/>
      <c r="G65" s="40"/>
      <c r="H65" s="40"/>
      <c r="I65" s="40"/>
      <c r="J65" s="40"/>
      <c r="K65" s="40"/>
      <c r="L65" s="40"/>
      <c r="M65" s="40"/>
      <c r="N65" s="40"/>
      <c r="O65" s="40"/>
      <c r="P65" s="40"/>
      <c r="Q65" s="40"/>
    </row>
    <row r="66" spans="1:17" x14ac:dyDescent="0.35">
      <c r="B66" s="6" t="s">
        <v>47</v>
      </c>
    </row>
    <row r="67" spans="1:17" x14ac:dyDescent="0.35">
      <c r="B67" s="6" t="s">
        <v>48</v>
      </c>
    </row>
    <row r="68" spans="1:17" x14ac:dyDescent="0.35">
      <c r="B68" t="s">
        <v>49</v>
      </c>
    </row>
    <row r="70" spans="1:17" x14ac:dyDescent="0.35">
      <c r="B70" s="6" t="s">
        <v>50</v>
      </c>
    </row>
    <row r="71" spans="1:17" x14ac:dyDescent="0.35">
      <c r="B71" s="54" t="s">
        <v>52</v>
      </c>
      <c r="C71" s="40"/>
      <c r="D71" s="40"/>
      <c r="E71" s="40"/>
      <c r="F71" s="40"/>
      <c r="G71" s="40"/>
      <c r="H71" s="40"/>
      <c r="I71" s="40"/>
      <c r="J71" s="40"/>
      <c r="K71" s="40"/>
      <c r="L71" s="40"/>
      <c r="M71" s="40"/>
      <c r="N71" s="40"/>
      <c r="O71" s="40"/>
      <c r="P71" s="40"/>
      <c r="Q71" s="40"/>
    </row>
    <row r="72" spans="1:17" x14ac:dyDescent="0.35">
      <c r="B72" s="40"/>
      <c r="C72" s="40"/>
      <c r="D72" s="40"/>
      <c r="E72" s="40"/>
      <c r="F72" s="40"/>
      <c r="G72" s="40"/>
      <c r="H72" s="40"/>
      <c r="I72" s="40"/>
      <c r="J72" s="40"/>
      <c r="K72" s="40"/>
      <c r="L72" s="40"/>
      <c r="M72" s="40"/>
      <c r="N72" s="40"/>
      <c r="O72" s="40"/>
      <c r="P72" s="40"/>
      <c r="Q72" s="40"/>
    </row>
    <row r="73" spans="1:17" x14ac:dyDescent="0.35">
      <c r="B73" s="44"/>
      <c r="C73" s="44"/>
      <c r="D73" s="44"/>
      <c r="E73" s="44"/>
      <c r="F73" s="44"/>
      <c r="G73" s="44"/>
      <c r="H73" s="44"/>
      <c r="I73" s="44"/>
      <c r="J73" s="44"/>
      <c r="K73" s="44"/>
      <c r="L73" s="44"/>
      <c r="M73" s="44"/>
      <c r="N73" s="44"/>
      <c r="O73" s="44"/>
      <c r="P73" s="44"/>
      <c r="Q73" s="44"/>
    </row>
    <row r="74" spans="1:17" x14ac:dyDescent="0.35">
      <c r="A74" s="6" t="s">
        <v>33</v>
      </c>
      <c r="B74" t="s">
        <v>53</v>
      </c>
    </row>
    <row r="76" spans="1:17" x14ac:dyDescent="0.35">
      <c r="B76" s="53" t="s">
        <v>231</v>
      </c>
      <c r="C76" s="53"/>
      <c r="D76" s="53"/>
      <c r="E76" s="53"/>
      <c r="F76" s="53"/>
      <c r="G76" s="53"/>
      <c r="H76" s="53"/>
      <c r="I76" s="53"/>
      <c r="J76" s="53"/>
      <c r="K76" s="53"/>
      <c r="L76" s="53"/>
      <c r="M76" s="53"/>
      <c r="N76" s="53"/>
      <c r="O76" s="53"/>
      <c r="P76" s="53"/>
      <c r="Q76" s="53"/>
    </row>
    <row r="77" spans="1:17" x14ac:dyDescent="0.35">
      <c r="B77" s="53"/>
      <c r="C77" s="53"/>
      <c r="D77" s="53"/>
      <c r="E77" s="53"/>
      <c r="F77" s="53"/>
      <c r="G77" s="53"/>
      <c r="H77" s="53"/>
      <c r="I77" s="53"/>
      <c r="J77" s="53"/>
      <c r="K77" s="53"/>
      <c r="L77" s="53"/>
      <c r="M77" s="53"/>
      <c r="N77" s="53"/>
      <c r="O77" s="53"/>
      <c r="P77" s="53"/>
      <c r="Q77" s="53"/>
    </row>
    <row r="79" spans="1:17" x14ac:dyDescent="0.35">
      <c r="A79" s="6" t="s">
        <v>33</v>
      </c>
      <c r="B79" t="s">
        <v>232</v>
      </c>
    </row>
    <row r="81" spans="1:17" s="64" customFormat="1" x14ac:dyDescent="0.35">
      <c r="A81" s="19" t="s">
        <v>33</v>
      </c>
      <c r="B81" s="19" t="s">
        <v>233</v>
      </c>
    </row>
    <row r="82" spans="1:17" x14ac:dyDescent="0.35">
      <c r="B82" s="40" t="s">
        <v>234</v>
      </c>
      <c r="C82" s="40"/>
      <c r="D82" s="40"/>
      <c r="E82" s="40"/>
      <c r="F82" s="40"/>
      <c r="G82" s="40"/>
      <c r="H82" s="40"/>
      <c r="I82" s="40"/>
      <c r="J82" s="40"/>
      <c r="K82" s="40"/>
      <c r="L82" s="40"/>
      <c r="M82" s="40"/>
      <c r="N82" s="40"/>
      <c r="O82" s="40"/>
      <c r="P82" s="40"/>
      <c r="Q82" s="40"/>
    </row>
    <row r="83" spans="1:17" x14ac:dyDescent="0.35">
      <c r="B83" s="40"/>
      <c r="C83" s="40"/>
      <c r="D83" s="40"/>
      <c r="E83" s="40"/>
      <c r="F83" s="40"/>
      <c r="G83" s="40"/>
      <c r="H83" s="40"/>
      <c r="I83" s="40"/>
      <c r="J83" s="40"/>
      <c r="K83" s="40"/>
      <c r="L83" s="40"/>
      <c r="M83" s="40"/>
      <c r="N83" s="40"/>
      <c r="O83" s="40"/>
      <c r="P83" s="40"/>
      <c r="Q83" s="40"/>
    </row>
    <row r="84" spans="1:17" x14ac:dyDescent="0.35">
      <c r="B84" s="44"/>
      <c r="C84" s="44"/>
      <c r="D84" s="44"/>
      <c r="E84" s="44"/>
      <c r="F84" s="44"/>
      <c r="G84" s="44"/>
      <c r="H84" s="44"/>
      <c r="I84" s="44"/>
      <c r="J84" s="44"/>
      <c r="K84" s="44"/>
      <c r="L84" s="44"/>
      <c r="M84" s="44"/>
      <c r="N84" s="44"/>
      <c r="O84" s="44"/>
      <c r="P84" s="44"/>
      <c r="Q84" s="44"/>
    </row>
    <row r="85" spans="1:17" s="64" customFormat="1" x14ac:dyDescent="0.35">
      <c r="A85" s="19" t="s">
        <v>33</v>
      </c>
      <c r="B85" s="19" t="s">
        <v>235</v>
      </c>
    </row>
    <row r="86" spans="1:17" x14ac:dyDescent="0.35">
      <c r="B86" t="s">
        <v>236</v>
      </c>
    </row>
    <row r="88" spans="1:17" x14ac:dyDescent="0.35">
      <c r="B88" s="40" t="s">
        <v>237</v>
      </c>
      <c r="C88" s="40"/>
      <c r="D88" s="40"/>
      <c r="E88" s="40"/>
      <c r="F88" s="40"/>
      <c r="G88" s="40"/>
      <c r="H88" s="40"/>
      <c r="I88" s="40"/>
      <c r="J88" s="40"/>
      <c r="K88" s="40"/>
      <c r="L88" s="40"/>
      <c r="M88" s="40"/>
      <c r="N88" s="40"/>
      <c r="O88" s="40"/>
      <c r="P88" s="40"/>
      <c r="Q88" s="40"/>
    </row>
    <row r="89" spans="1:17" x14ac:dyDescent="0.35">
      <c r="B89" s="40"/>
      <c r="C89" s="40"/>
      <c r="D89" s="40"/>
      <c r="E89" s="40"/>
      <c r="F89" s="40"/>
      <c r="G89" s="40"/>
      <c r="H89" s="40"/>
      <c r="I89" s="40"/>
      <c r="J89" s="40"/>
      <c r="K89" s="40"/>
      <c r="L89" s="40"/>
      <c r="M89" s="40"/>
      <c r="N89" s="40"/>
      <c r="O89" s="40"/>
      <c r="P89" s="40"/>
      <c r="Q89" s="40"/>
    </row>
    <row r="91" spans="1:17" x14ac:dyDescent="0.35">
      <c r="B91" s="40" t="s">
        <v>238</v>
      </c>
      <c r="C91" s="40"/>
      <c r="D91" s="40"/>
      <c r="E91" s="40"/>
      <c r="F91" s="40"/>
      <c r="G91" s="40"/>
      <c r="H91" s="40"/>
      <c r="I91" s="40"/>
      <c r="J91" s="40"/>
      <c r="K91" s="40"/>
      <c r="L91" s="40"/>
      <c r="M91" s="40"/>
      <c r="N91" s="40"/>
      <c r="O91" s="40"/>
      <c r="P91" s="40"/>
      <c r="Q91" s="40"/>
    </row>
    <row r="92" spans="1:17" x14ac:dyDescent="0.35">
      <c r="B92" s="44"/>
      <c r="C92" s="44"/>
      <c r="D92" s="44"/>
      <c r="E92" s="44"/>
      <c r="F92" s="44"/>
      <c r="G92" s="44"/>
      <c r="H92" s="44"/>
      <c r="I92" s="44"/>
      <c r="J92" s="44"/>
      <c r="K92" s="44"/>
      <c r="L92" s="44"/>
      <c r="M92" s="44"/>
      <c r="N92" s="44"/>
      <c r="O92" s="44"/>
      <c r="P92" s="44"/>
      <c r="Q92" s="44"/>
    </row>
    <row r="93" spans="1:17" s="64" customFormat="1" x14ac:dyDescent="0.35">
      <c r="A93" s="19" t="s">
        <v>33</v>
      </c>
      <c r="B93" s="19" t="s">
        <v>239</v>
      </c>
    </row>
    <row r="94" spans="1:17" x14ac:dyDescent="0.35">
      <c r="B94" s="6" t="s">
        <v>240</v>
      </c>
    </row>
    <row r="95" spans="1:17" x14ac:dyDescent="0.35">
      <c r="B95" s="55" t="s">
        <v>241</v>
      </c>
      <c r="C95" s="40"/>
      <c r="D95" s="40"/>
      <c r="E95" s="40"/>
      <c r="F95" s="40"/>
      <c r="G95" s="40"/>
      <c r="H95" s="40"/>
      <c r="I95" s="40"/>
      <c r="J95" s="40"/>
      <c r="K95" s="40"/>
      <c r="L95" s="40"/>
      <c r="M95" s="40"/>
      <c r="N95" s="40"/>
      <c r="O95" s="40"/>
      <c r="P95" s="40"/>
      <c r="Q95" s="40"/>
    </row>
    <row r="96" spans="1:17" x14ac:dyDescent="0.35">
      <c r="B96" s="40"/>
      <c r="C96" s="40"/>
      <c r="D96" s="40"/>
      <c r="E96" s="40"/>
      <c r="F96" s="40"/>
      <c r="G96" s="40"/>
      <c r="H96" s="40"/>
      <c r="I96" s="40"/>
      <c r="J96" s="40"/>
      <c r="K96" s="40"/>
      <c r="L96" s="40"/>
      <c r="M96" s="40"/>
      <c r="N96" s="40"/>
      <c r="O96" s="40"/>
      <c r="P96" s="40"/>
      <c r="Q96" s="40"/>
    </row>
    <row r="98" spans="2:17" x14ac:dyDescent="0.35">
      <c r="B98" s="6" t="s">
        <v>242</v>
      </c>
    </row>
    <row r="99" spans="2:17" x14ac:dyDescent="0.35">
      <c r="B99" s="6" t="s">
        <v>243</v>
      </c>
    </row>
    <row r="100" spans="2:17" x14ac:dyDescent="0.35">
      <c r="B100" s="6" t="s">
        <v>244</v>
      </c>
    </row>
    <row r="101" spans="2:17" x14ac:dyDescent="0.35">
      <c r="B101" s="18" t="s">
        <v>245</v>
      </c>
      <c r="C101" s="14"/>
      <c r="D101" s="14"/>
      <c r="E101" s="14"/>
      <c r="F101" s="14"/>
      <c r="G101" s="14"/>
      <c r="H101" s="14"/>
      <c r="I101" s="14"/>
      <c r="J101" s="14"/>
      <c r="K101" s="14"/>
      <c r="L101" s="14"/>
      <c r="M101" s="14"/>
      <c r="N101" s="14"/>
      <c r="O101" s="14"/>
      <c r="P101" s="14"/>
      <c r="Q101" s="14"/>
    </row>
  </sheetData>
  <mergeCells count="19">
    <mergeCell ref="B91:Q92"/>
    <mergeCell ref="B95:Q96"/>
    <mergeCell ref="B26:Q27"/>
    <mergeCell ref="B60:Q61"/>
    <mergeCell ref="B64:Q65"/>
    <mergeCell ref="B71:Q73"/>
    <mergeCell ref="B76:Q77"/>
    <mergeCell ref="B82:Q84"/>
    <mergeCell ref="B88:Q89"/>
    <mergeCell ref="B34:Q35"/>
    <mergeCell ref="B40:Q42"/>
    <mergeCell ref="B52:Q53"/>
    <mergeCell ref="B1:Q2"/>
    <mergeCell ref="B56:Q57"/>
    <mergeCell ref="B6:Q8"/>
    <mergeCell ref="B22:Q23"/>
    <mergeCell ref="B18:Q19"/>
    <mergeCell ref="B14:Q15"/>
    <mergeCell ref="B30:Q32"/>
  </mergeCells>
  <pageMargins left="0.7" right="0.7" top="0.75" bottom="0.75" header="0.3" footer="0.3"/>
  <pageSetup scale="58" orientation="portrait" r:id="rId1"/>
  <rowBreaks count="1" manualBreakCount="1">
    <brk id="3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161D-B96B-44C7-AE7F-AC7BC912A215}">
  <dimension ref="B1:F8"/>
  <sheetViews>
    <sheetView showGridLines="0" workbookViewId="0">
      <selection activeCell="B15" sqref="B15"/>
    </sheetView>
  </sheetViews>
  <sheetFormatPr defaultRowHeight="14.5" x14ac:dyDescent="0.35"/>
  <cols>
    <col min="1" max="1" width="1.7265625" customWidth="1"/>
    <col min="2" max="2" width="17.54296875" bestFit="1" customWidth="1"/>
    <col min="4" max="4" width="1.7265625" customWidth="1"/>
    <col min="5" max="5" width="13.7265625" bestFit="1" customWidth="1"/>
  </cols>
  <sheetData>
    <row r="1" spans="2:6" ht="14.5" customHeight="1" x14ac:dyDescent="0.35">
      <c r="B1" s="53" t="s">
        <v>55</v>
      </c>
      <c r="C1" s="53"/>
      <c r="D1" s="53"/>
      <c r="E1" s="53"/>
      <c r="F1" s="53"/>
    </row>
    <row r="2" spans="2:6" ht="14.5" customHeight="1" x14ac:dyDescent="0.35">
      <c r="B2" s="53"/>
      <c r="C2" s="53"/>
      <c r="D2" s="53"/>
      <c r="E2" s="53"/>
      <c r="F2" s="53"/>
    </row>
    <row r="4" spans="2:6" x14ac:dyDescent="0.35">
      <c r="B4" s="56" t="s">
        <v>5</v>
      </c>
      <c r="C4" s="56"/>
      <c r="E4" s="56" t="s">
        <v>13</v>
      </c>
      <c r="F4" s="56"/>
    </row>
    <row r="5" spans="2:6" ht="16.5" x14ac:dyDescent="0.45">
      <c r="B5" t="s">
        <v>2</v>
      </c>
      <c r="C5">
        <v>0.5</v>
      </c>
      <c r="E5" s="6" t="s">
        <v>282</v>
      </c>
      <c r="F5" s="9">
        <f>C6*EXP((C7+C8)*0.5)</f>
        <v>3.0081028009477091</v>
      </c>
    </row>
    <row r="6" spans="2:6" ht="16.5" x14ac:dyDescent="0.45">
      <c r="B6" t="s">
        <v>15</v>
      </c>
      <c r="C6" s="1">
        <v>2.94</v>
      </c>
    </row>
    <row r="7" spans="2:6" x14ac:dyDescent="0.35">
      <c r="B7" t="s">
        <v>0</v>
      </c>
      <c r="C7">
        <v>3.5799999999999998E-2</v>
      </c>
    </row>
    <row r="8" spans="2:6" x14ac:dyDescent="0.35">
      <c r="B8" s="14" t="s">
        <v>1</v>
      </c>
      <c r="C8" s="14">
        <v>0.01</v>
      </c>
    </row>
  </sheetData>
  <mergeCells count="3">
    <mergeCell ref="B4:C4"/>
    <mergeCell ref="E4:F4"/>
    <mergeCell ref="B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D58F-32A5-4977-B811-9F49777250FC}">
  <dimension ref="B1:J257"/>
  <sheetViews>
    <sheetView showGridLines="0" workbookViewId="0">
      <selection activeCell="I10" sqref="I10"/>
    </sheetView>
  </sheetViews>
  <sheetFormatPr defaultRowHeight="14.5" x14ac:dyDescent="0.35"/>
  <cols>
    <col min="1" max="1" width="1.7265625" customWidth="1"/>
    <col min="2" max="2" width="10.08984375" bestFit="1" customWidth="1"/>
    <col min="4" max="4" width="10.6328125" bestFit="1" customWidth="1"/>
    <col min="5" max="5" width="1.7265625" customWidth="1"/>
    <col min="6" max="6" width="17.54296875" bestFit="1" customWidth="1"/>
    <col min="7" max="7" width="12.453125" bestFit="1" customWidth="1"/>
    <col min="8" max="8" width="1.6328125" customWidth="1"/>
    <col min="9" max="9" width="16.7265625" bestFit="1" customWidth="1"/>
    <col min="10" max="10" width="12.453125" bestFit="1" customWidth="1"/>
  </cols>
  <sheetData>
    <row r="1" spans="2:10" x14ac:dyDescent="0.35">
      <c r="B1" s="59" t="s">
        <v>246</v>
      </c>
      <c r="C1" s="59"/>
      <c r="D1" s="59"/>
      <c r="E1" s="59"/>
      <c r="F1" s="59"/>
      <c r="G1" s="59"/>
      <c r="H1" s="59"/>
      <c r="I1" s="59"/>
      <c r="J1" s="59"/>
    </row>
    <row r="2" spans="2:10" x14ac:dyDescent="0.35">
      <c r="B2" s="59"/>
      <c r="C2" s="59"/>
      <c r="D2" s="59"/>
      <c r="E2" s="59"/>
      <c r="F2" s="59"/>
      <c r="G2" s="59"/>
      <c r="H2" s="59"/>
      <c r="I2" s="59"/>
      <c r="J2" s="59"/>
    </row>
    <row r="4" spans="2:10" x14ac:dyDescent="0.35">
      <c r="B4" s="8" t="s">
        <v>3</v>
      </c>
      <c r="C4" s="8" t="s">
        <v>4</v>
      </c>
      <c r="D4" s="8" t="s">
        <v>16</v>
      </c>
      <c r="F4" s="56" t="s">
        <v>5</v>
      </c>
      <c r="G4" s="56"/>
      <c r="I4" s="56" t="s">
        <v>13</v>
      </c>
      <c r="J4" s="56"/>
    </row>
    <row r="5" spans="2:10" x14ac:dyDescent="0.35">
      <c r="B5" s="3">
        <v>45694</v>
      </c>
      <c r="C5" s="4">
        <v>403.95001220703102</v>
      </c>
      <c r="F5" t="s">
        <v>2</v>
      </c>
      <c r="G5">
        <v>0.5</v>
      </c>
      <c r="I5" t="s">
        <v>7</v>
      </c>
      <c r="J5">
        <f>_xlfn.STDEV.S(D6:D257)</f>
        <v>2.4756005043107602E-2</v>
      </c>
    </row>
    <row r="6" spans="2:10" ht="16.5" x14ac:dyDescent="0.45">
      <c r="B6" s="3">
        <v>45695</v>
      </c>
      <c r="C6" s="4">
        <v>404.350006103515</v>
      </c>
      <c r="D6">
        <f t="shared" ref="D6:D69" si="0">LN(C6/C5)</f>
        <v>9.8971649158396805E-4</v>
      </c>
      <c r="F6" t="s">
        <v>15</v>
      </c>
      <c r="G6" s="1">
        <v>2.94</v>
      </c>
      <c r="I6" t="s">
        <v>8</v>
      </c>
      <c r="J6">
        <f>J5*SQRT(252)</f>
        <v>0.39298939679714134</v>
      </c>
    </row>
    <row r="7" spans="2:10" ht="16.5" x14ac:dyDescent="0.45">
      <c r="B7" s="3">
        <v>45698</v>
      </c>
      <c r="C7" s="4">
        <v>429.04998779296801</v>
      </c>
      <c r="D7">
        <f t="shared" si="0"/>
        <v>5.9292579165361146E-2</v>
      </c>
      <c r="F7" t="s">
        <v>6</v>
      </c>
      <c r="G7" s="1">
        <v>2.95</v>
      </c>
      <c r="I7" s="5" t="s">
        <v>9</v>
      </c>
      <c r="J7">
        <f>(LN(G6/G7)+(G8+((J6^2)/2))*G5)/(J6*SQRT(G5))</f>
        <v>0.19113837795376112</v>
      </c>
    </row>
    <row r="8" spans="2:10" ht="16.5" x14ac:dyDescent="0.45">
      <c r="B8" s="3">
        <v>45699</v>
      </c>
      <c r="C8" s="4">
        <v>413.45001220703102</v>
      </c>
      <c r="D8">
        <f t="shared" si="0"/>
        <v>-3.703681610884426E-2</v>
      </c>
      <c r="F8" s="14" t="s">
        <v>0</v>
      </c>
      <c r="G8" s="14">
        <v>3.5799999999999998E-2</v>
      </c>
      <c r="I8" s="5" t="s">
        <v>10</v>
      </c>
      <c r="J8">
        <f>J7-(J6*SQRT(G5))</f>
        <v>-8.6747089455908394E-2</v>
      </c>
    </row>
    <row r="9" spans="2:10" ht="16.5" x14ac:dyDescent="0.45">
      <c r="B9" s="3">
        <v>45700</v>
      </c>
      <c r="C9" s="4">
        <v>431.79998779296801</v>
      </c>
      <c r="D9">
        <f t="shared" si="0"/>
        <v>4.3425872117618849E-2</v>
      </c>
      <c r="I9" t="s">
        <v>11</v>
      </c>
      <c r="J9">
        <f>_xlfn.NORM.S.DIST(J7,TRUE)</f>
        <v>0.57579140968610876</v>
      </c>
    </row>
    <row r="10" spans="2:10" ht="16.5" x14ac:dyDescent="0.45">
      <c r="B10" s="3">
        <v>45701</v>
      </c>
      <c r="C10" s="4">
        <v>438.89999389648398</v>
      </c>
      <c r="D10">
        <f t="shared" si="0"/>
        <v>1.6309092977194736E-2</v>
      </c>
      <c r="I10" s="10" t="s">
        <v>12</v>
      </c>
      <c r="J10" s="10">
        <f>_xlfn.NORM.S.DIST(J8,TRUE)</f>
        <v>0.46543627274628957</v>
      </c>
    </row>
    <row r="11" spans="2:10" x14ac:dyDescent="0.35">
      <c r="B11" s="3">
        <v>45702</v>
      </c>
      <c r="C11" s="4">
        <v>419.75</v>
      </c>
      <c r="D11">
        <f t="shared" si="0"/>
        <v>-4.4612286830144683E-2</v>
      </c>
    </row>
    <row r="12" spans="2:10" x14ac:dyDescent="0.35">
      <c r="B12" s="3">
        <v>45706</v>
      </c>
      <c r="C12" s="4">
        <v>419</v>
      </c>
      <c r="D12">
        <f t="shared" si="0"/>
        <v>-1.7883760355124918E-3</v>
      </c>
      <c r="I12" s="11" t="s">
        <v>14</v>
      </c>
      <c r="J12" s="12">
        <f>G6*J9-G7*(EXP(-G8*G5))*J10</f>
        <v>0.34414844148441559</v>
      </c>
    </row>
    <row r="13" spans="2:10" x14ac:dyDescent="0.35">
      <c r="B13" s="3">
        <v>45707</v>
      </c>
      <c r="C13" s="4">
        <v>417.89999389648398</v>
      </c>
      <c r="D13">
        <f t="shared" si="0"/>
        <v>-2.6287650734751361E-3</v>
      </c>
    </row>
    <row r="14" spans="2:10" x14ac:dyDescent="0.35">
      <c r="B14" s="3">
        <v>45708</v>
      </c>
      <c r="C14" s="4">
        <v>395.75</v>
      </c>
      <c r="D14">
        <f t="shared" si="0"/>
        <v>-5.4459456087541075E-2</v>
      </c>
    </row>
    <row r="15" spans="2:10" x14ac:dyDescent="0.35">
      <c r="B15" s="3">
        <v>45709</v>
      </c>
      <c r="C15" s="4">
        <v>400</v>
      </c>
      <c r="D15">
        <f t="shared" si="0"/>
        <v>1.0681848346860354E-2</v>
      </c>
    </row>
    <row r="16" spans="2:10" x14ac:dyDescent="0.35">
      <c r="B16" s="3">
        <v>45712</v>
      </c>
      <c r="C16" s="4">
        <v>393.79998779296801</v>
      </c>
      <c r="D16">
        <f t="shared" si="0"/>
        <v>-1.562141190100705E-2</v>
      </c>
    </row>
    <row r="17" spans="2:10" x14ac:dyDescent="0.35">
      <c r="B17" s="3">
        <v>45713</v>
      </c>
      <c r="C17" s="4">
        <v>380.5</v>
      </c>
      <c r="D17">
        <f t="shared" si="0"/>
        <v>-3.4356957905234409E-2</v>
      </c>
      <c r="F17" s="57"/>
      <c r="G17" s="57"/>
      <c r="H17" s="57"/>
      <c r="I17" s="57"/>
      <c r="J17" s="57"/>
    </row>
    <row r="18" spans="2:10" x14ac:dyDescent="0.35">
      <c r="B18" s="3">
        <v>45714</v>
      </c>
      <c r="C18" s="4">
        <v>379.45001220703102</v>
      </c>
      <c r="D18">
        <f t="shared" si="0"/>
        <v>-2.7633092814910963E-3</v>
      </c>
      <c r="F18" s="57"/>
      <c r="G18" s="57"/>
      <c r="H18" s="57"/>
      <c r="I18" s="57"/>
      <c r="J18" s="57"/>
    </row>
    <row r="19" spans="2:10" x14ac:dyDescent="0.35">
      <c r="B19" s="3">
        <v>45715</v>
      </c>
      <c r="C19" s="4">
        <v>378.75</v>
      </c>
      <c r="D19">
        <f t="shared" si="0"/>
        <v>-1.8465111966705834E-3</v>
      </c>
      <c r="F19" s="58"/>
      <c r="G19" s="58"/>
      <c r="H19" s="58"/>
      <c r="I19" s="58"/>
      <c r="J19" s="58"/>
    </row>
    <row r="20" spans="2:10" x14ac:dyDescent="0.35">
      <c r="B20" s="3">
        <v>45716</v>
      </c>
      <c r="C20" s="4">
        <v>379.04998779296801</v>
      </c>
      <c r="D20">
        <f t="shared" si="0"/>
        <v>7.9173347445434157E-4</v>
      </c>
    </row>
    <row r="21" spans="2:10" x14ac:dyDescent="0.35">
      <c r="B21" s="3">
        <v>45719</v>
      </c>
      <c r="C21" s="4">
        <v>392.70001220703102</v>
      </c>
      <c r="D21">
        <f t="shared" si="0"/>
        <v>3.5377902370806763E-2</v>
      </c>
      <c r="F21" s="40"/>
      <c r="G21" s="40"/>
      <c r="H21" s="40"/>
      <c r="I21" s="40"/>
      <c r="J21" s="40"/>
    </row>
    <row r="22" spans="2:10" x14ac:dyDescent="0.35">
      <c r="B22" s="3">
        <v>45720</v>
      </c>
      <c r="C22" s="4">
        <v>403.75</v>
      </c>
      <c r="D22">
        <f t="shared" si="0"/>
        <v>2.774988186802629E-2</v>
      </c>
      <c r="F22" s="40"/>
      <c r="G22" s="40"/>
      <c r="H22" s="40"/>
      <c r="I22" s="40"/>
      <c r="J22" s="40"/>
    </row>
    <row r="23" spans="2:10" x14ac:dyDescent="0.35">
      <c r="B23" s="3">
        <v>45721</v>
      </c>
      <c r="C23" s="4">
        <v>415.5</v>
      </c>
      <c r="D23">
        <f t="shared" si="0"/>
        <v>2.8686739758636611E-2</v>
      </c>
      <c r="F23" s="40"/>
      <c r="G23" s="40"/>
      <c r="H23" s="40"/>
      <c r="I23" s="40"/>
      <c r="J23" s="40"/>
    </row>
    <row r="24" spans="2:10" x14ac:dyDescent="0.35">
      <c r="B24" s="3">
        <v>45722</v>
      </c>
      <c r="C24" s="4">
        <v>393</v>
      </c>
      <c r="D24">
        <f t="shared" si="0"/>
        <v>-5.5673002426241638E-2</v>
      </c>
      <c r="F24" s="40"/>
      <c r="G24" s="40"/>
      <c r="H24" s="40"/>
      <c r="I24" s="40"/>
      <c r="J24" s="40"/>
    </row>
    <row r="25" spans="2:10" x14ac:dyDescent="0.35">
      <c r="B25" s="3">
        <v>45723</v>
      </c>
      <c r="C25" s="4">
        <v>390.20001220703102</v>
      </c>
      <c r="D25">
        <f t="shared" si="0"/>
        <v>-7.1501523962144891E-3</v>
      </c>
      <c r="F25" s="40"/>
      <c r="G25" s="40"/>
      <c r="H25" s="40"/>
      <c r="I25" s="40"/>
      <c r="J25" s="40"/>
    </row>
    <row r="26" spans="2:10" x14ac:dyDescent="0.35">
      <c r="B26" s="3">
        <v>45726</v>
      </c>
      <c r="C26" s="4">
        <v>389.350006103515</v>
      </c>
      <c r="D26">
        <f t="shared" si="0"/>
        <v>-2.1807617738864105E-3</v>
      </c>
      <c r="F26" s="40"/>
      <c r="G26" s="40"/>
      <c r="H26" s="40"/>
      <c r="I26" s="40"/>
      <c r="J26" s="40"/>
    </row>
    <row r="27" spans="2:10" x14ac:dyDescent="0.35">
      <c r="B27" s="3">
        <v>45727</v>
      </c>
      <c r="C27" s="4">
        <v>399.45001220703102</v>
      </c>
      <c r="D27">
        <f t="shared" si="0"/>
        <v>2.5609933788487103E-2</v>
      </c>
      <c r="F27" s="40"/>
      <c r="G27" s="40"/>
      <c r="H27" s="40"/>
      <c r="I27" s="40"/>
      <c r="J27" s="40"/>
    </row>
    <row r="28" spans="2:10" x14ac:dyDescent="0.35">
      <c r="B28" s="3">
        <v>45728</v>
      </c>
      <c r="C28" s="4">
        <v>392.20001220703102</v>
      </c>
      <c r="D28">
        <f t="shared" si="0"/>
        <v>-1.8316686600896616E-2</v>
      </c>
    </row>
    <row r="29" spans="2:10" x14ac:dyDescent="0.35">
      <c r="B29" s="3">
        <v>45729</v>
      </c>
      <c r="C29" s="4">
        <v>390.600006103515</v>
      </c>
      <c r="D29">
        <f t="shared" si="0"/>
        <v>-4.0879108181738899E-3</v>
      </c>
    </row>
    <row r="30" spans="2:10" x14ac:dyDescent="0.35">
      <c r="B30" s="3">
        <v>45730</v>
      </c>
      <c r="C30" s="4">
        <v>382.100006103515</v>
      </c>
      <c r="D30">
        <f t="shared" si="0"/>
        <v>-2.2001663642116333E-2</v>
      </c>
    </row>
    <row r="31" spans="2:10" x14ac:dyDescent="0.35">
      <c r="B31" s="3">
        <v>45733</v>
      </c>
      <c r="C31" s="4">
        <v>389.350006103515</v>
      </c>
      <c r="D31">
        <f t="shared" si="0"/>
        <v>1.8796327272699916E-2</v>
      </c>
    </row>
    <row r="32" spans="2:10" x14ac:dyDescent="0.35">
      <c r="B32" s="3">
        <v>45734</v>
      </c>
      <c r="C32" s="4">
        <v>387.14999389648398</v>
      </c>
      <c r="D32">
        <f t="shared" si="0"/>
        <v>-5.6664986316765607E-3</v>
      </c>
    </row>
    <row r="33" spans="2:4" x14ac:dyDescent="0.35">
      <c r="B33" s="3">
        <v>45735</v>
      </c>
      <c r="C33" s="4">
        <v>394.600006103515</v>
      </c>
      <c r="D33">
        <f t="shared" si="0"/>
        <v>1.9060409988631188E-2</v>
      </c>
    </row>
    <row r="34" spans="2:4" x14ac:dyDescent="0.35">
      <c r="B34" s="3">
        <v>45736</v>
      </c>
      <c r="C34" s="4">
        <v>392.14999389648398</v>
      </c>
      <c r="D34">
        <f t="shared" si="0"/>
        <v>-6.2282049616778383E-3</v>
      </c>
    </row>
    <row r="35" spans="2:4" x14ac:dyDescent="0.35">
      <c r="B35" s="3">
        <v>45737</v>
      </c>
      <c r="C35" s="4">
        <v>391.39999389648398</v>
      </c>
      <c r="D35">
        <f t="shared" si="0"/>
        <v>-1.9143647265237661E-3</v>
      </c>
    </row>
    <row r="36" spans="2:4" x14ac:dyDescent="0.35">
      <c r="B36" s="3">
        <v>45740</v>
      </c>
      <c r="C36" s="4">
        <v>393.39999389648398</v>
      </c>
      <c r="D36">
        <f t="shared" si="0"/>
        <v>5.0968510722613396E-3</v>
      </c>
    </row>
    <row r="37" spans="2:4" x14ac:dyDescent="0.35">
      <c r="B37" s="3">
        <v>45741</v>
      </c>
      <c r="C37" s="4">
        <v>398.54998779296801</v>
      </c>
      <c r="D37">
        <f t="shared" si="0"/>
        <v>1.3006039805148417E-2</v>
      </c>
    </row>
    <row r="38" spans="2:4" x14ac:dyDescent="0.35">
      <c r="B38" s="3">
        <v>45742</v>
      </c>
      <c r="C38" s="4">
        <v>392</v>
      </c>
      <c r="D38">
        <f t="shared" si="0"/>
        <v>-1.6571090454860573E-2</v>
      </c>
    </row>
    <row r="39" spans="2:4" x14ac:dyDescent="0.35">
      <c r="B39" s="3">
        <v>45743</v>
      </c>
      <c r="C39" s="4">
        <v>378.79998779296801</v>
      </c>
      <c r="D39">
        <f t="shared" si="0"/>
        <v>-3.4253510704073058E-2</v>
      </c>
    </row>
    <row r="40" spans="2:4" x14ac:dyDescent="0.35">
      <c r="B40" s="3">
        <v>45744</v>
      </c>
      <c r="C40" s="4">
        <v>379.95001220703102</v>
      </c>
      <c r="D40">
        <f t="shared" si="0"/>
        <v>3.0313681573972879E-3</v>
      </c>
    </row>
    <row r="41" spans="2:4" x14ac:dyDescent="0.35">
      <c r="B41" s="3">
        <v>45747</v>
      </c>
      <c r="C41" s="4">
        <v>379.75</v>
      </c>
      <c r="D41">
        <f t="shared" si="0"/>
        <v>-5.2655576790439475E-4</v>
      </c>
    </row>
    <row r="42" spans="2:4" x14ac:dyDescent="0.35">
      <c r="B42" s="3">
        <v>45748</v>
      </c>
      <c r="C42" s="4">
        <v>389.04998779296801</v>
      </c>
      <c r="D42">
        <f t="shared" si="0"/>
        <v>2.419469721054435E-2</v>
      </c>
    </row>
    <row r="43" spans="2:4" x14ac:dyDescent="0.35">
      <c r="B43" s="3">
        <v>45749</v>
      </c>
      <c r="C43" s="4">
        <v>388.850006103515</v>
      </c>
      <c r="D43">
        <f t="shared" si="0"/>
        <v>-5.141578491519804E-4</v>
      </c>
    </row>
    <row r="44" spans="2:4" x14ac:dyDescent="0.35">
      <c r="B44" s="3">
        <v>45750</v>
      </c>
      <c r="C44" s="4">
        <v>385.25</v>
      </c>
      <c r="D44">
        <f t="shared" si="0"/>
        <v>-9.301206637049508E-3</v>
      </c>
    </row>
    <row r="45" spans="2:4" x14ac:dyDescent="0.35">
      <c r="B45" s="3">
        <v>45751</v>
      </c>
      <c r="C45" s="4">
        <v>365.70001220703102</v>
      </c>
      <c r="D45">
        <f t="shared" si="0"/>
        <v>-5.2079115664985819E-2</v>
      </c>
    </row>
    <row r="46" spans="2:4" x14ac:dyDescent="0.35">
      <c r="B46" s="3">
        <v>45754</v>
      </c>
      <c r="C46" s="4">
        <v>344.79998779296801</v>
      </c>
      <c r="D46">
        <f t="shared" si="0"/>
        <v>-5.8848855148927008E-2</v>
      </c>
    </row>
    <row r="47" spans="2:4" x14ac:dyDescent="0.35">
      <c r="B47" s="3">
        <v>45755</v>
      </c>
      <c r="C47" s="4">
        <v>342.89999389648398</v>
      </c>
      <c r="D47">
        <f t="shared" si="0"/>
        <v>-5.5256617171346853E-3</v>
      </c>
    </row>
    <row r="48" spans="2:4" x14ac:dyDescent="0.35">
      <c r="B48" s="3">
        <v>45756</v>
      </c>
      <c r="C48" s="4">
        <v>341.70001220703102</v>
      </c>
      <c r="D48">
        <f t="shared" si="0"/>
        <v>-3.5056468235218751E-3</v>
      </c>
    </row>
    <row r="49" spans="2:4" x14ac:dyDescent="0.35">
      <c r="B49" s="3">
        <v>45757</v>
      </c>
      <c r="C49" s="4">
        <v>342.850006103515</v>
      </c>
      <c r="D49">
        <f t="shared" si="0"/>
        <v>3.3598566870071513E-3</v>
      </c>
    </row>
    <row r="50" spans="2:4" x14ac:dyDescent="0.35">
      <c r="B50" s="3">
        <v>45758</v>
      </c>
      <c r="C50" s="4">
        <v>357.70001220703102</v>
      </c>
      <c r="D50">
        <f t="shared" si="0"/>
        <v>4.2401628858758228E-2</v>
      </c>
    </row>
    <row r="51" spans="2:4" x14ac:dyDescent="0.35">
      <c r="B51" s="3">
        <v>45761</v>
      </c>
      <c r="C51" s="4">
        <v>360.39999389648398</v>
      </c>
      <c r="D51">
        <f t="shared" si="0"/>
        <v>7.5198284073676293E-3</v>
      </c>
    </row>
    <row r="52" spans="2:4" x14ac:dyDescent="0.35">
      <c r="B52" s="3">
        <v>45762</v>
      </c>
      <c r="C52" s="4">
        <v>369.39999389648398</v>
      </c>
      <c r="D52">
        <f t="shared" si="0"/>
        <v>2.4665542443567789E-2</v>
      </c>
    </row>
    <row r="53" spans="2:4" x14ac:dyDescent="0.35">
      <c r="B53" s="3">
        <v>45763</v>
      </c>
      <c r="C53" s="4">
        <v>376.04998779296801</v>
      </c>
      <c r="D53">
        <f t="shared" si="0"/>
        <v>1.7842029568861044E-2</v>
      </c>
    </row>
    <row r="54" spans="2:4" x14ac:dyDescent="0.35">
      <c r="B54" s="3">
        <v>45764</v>
      </c>
      <c r="C54" s="4">
        <v>375.5</v>
      </c>
      <c r="D54">
        <f t="shared" si="0"/>
        <v>-1.4636096070281702E-3</v>
      </c>
    </row>
    <row r="55" spans="2:4" x14ac:dyDescent="0.35">
      <c r="B55" s="3">
        <v>45768</v>
      </c>
      <c r="C55" s="4">
        <v>366.79998779296801</v>
      </c>
      <c r="D55">
        <f t="shared" si="0"/>
        <v>-2.3441764101683825E-2</v>
      </c>
    </row>
    <row r="56" spans="2:4" x14ac:dyDescent="0.35">
      <c r="B56" s="3">
        <v>45769</v>
      </c>
      <c r="C56" s="4">
        <v>377.64999389648398</v>
      </c>
      <c r="D56">
        <f t="shared" si="0"/>
        <v>2.9151117495118936E-2</v>
      </c>
    </row>
    <row r="57" spans="2:4" x14ac:dyDescent="0.35">
      <c r="B57" s="3">
        <v>45770</v>
      </c>
      <c r="C57" s="4">
        <v>392.39999389648398</v>
      </c>
      <c r="D57">
        <f t="shared" si="0"/>
        <v>3.8313887539261349E-2</v>
      </c>
    </row>
    <row r="58" spans="2:4" x14ac:dyDescent="0.35">
      <c r="B58" s="3">
        <v>45771</v>
      </c>
      <c r="C58" s="4">
        <v>408</v>
      </c>
      <c r="D58">
        <f t="shared" si="0"/>
        <v>3.8985462267275992E-2</v>
      </c>
    </row>
    <row r="59" spans="2:4" x14ac:dyDescent="0.35">
      <c r="B59" s="3">
        <v>45772</v>
      </c>
      <c r="C59" s="4">
        <v>408.25</v>
      </c>
      <c r="D59">
        <f t="shared" si="0"/>
        <v>6.1255744641290221E-4</v>
      </c>
    </row>
    <row r="60" spans="2:4" x14ac:dyDescent="0.35">
      <c r="B60" s="3">
        <v>45775</v>
      </c>
      <c r="C60" s="4">
        <v>421.54998779296801</v>
      </c>
      <c r="D60">
        <f t="shared" si="0"/>
        <v>3.2058633560614731E-2</v>
      </c>
    </row>
    <row r="61" spans="2:4" x14ac:dyDescent="0.35">
      <c r="B61" s="3">
        <v>45776</v>
      </c>
      <c r="C61" s="4">
        <v>412.64999389648398</v>
      </c>
      <c r="D61">
        <f t="shared" si="0"/>
        <v>-2.1338604163520056E-2</v>
      </c>
    </row>
    <row r="62" spans="2:4" x14ac:dyDescent="0.35">
      <c r="B62" s="3">
        <v>45777</v>
      </c>
      <c r="C62" s="4">
        <v>413.600006103515</v>
      </c>
      <c r="D62">
        <f t="shared" si="0"/>
        <v>2.2995767035979492E-3</v>
      </c>
    </row>
    <row r="63" spans="2:4" x14ac:dyDescent="0.35">
      <c r="B63" s="3">
        <v>45778</v>
      </c>
      <c r="C63" s="4">
        <v>395.70001220703102</v>
      </c>
      <c r="D63">
        <f t="shared" si="0"/>
        <v>-4.4242958710682435E-2</v>
      </c>
    </row>
    <row r="64" spans="2:4" x14ac:dyDescent="0.35">
      <c r="B64" s="3">
        <v>45779</v>
      </c>
      <c r="C64" s="4">
        <v>395.39999389648398</v>
      </c>
      <c r="D64">
        <f t="shared" si="0"/>
        <v>-7.5848394037586128E-4</v>
      </c>
    </row>
    <row r="65" spans="2:4" x14ac:dyDescent="0.35">
      <c r="B65" s="3">
        <v>45782</v>
      </c>
      <c r="C65" s="4">
        <v>398.95001220703102</v>
      </c>
      <c r="D65">
        <f t="shared" si="0"/>
        <v>8.9382310519776041E-3</v>
      </c>
    </row>
    <row r="66" spans="2:4" x14ac:dyDescent="0.35">
      <c r="B66" s="3">
        <v>45783</v>
      </c>
      <c r="C66" s="4">
        <v>401.100006103515</v>
      </c>
      <c r="D66">
        <f t="shared" si="0"/>
        <v>5.3746616407613513E-3</v>
      </c>
    </row>
    <row r="67" spans="2:4" x14ac:dyDescent="0.35">
      <c r="B67" s="3">
        <v>45784</v>
      </c>
      <c r="C67" s="4">
        <v>396.20001220703102</v>
      </c>
      <c r="D67">
        <f t="shared" si="0"/>
        <v>-1.2291622918222705E-2</v>
      </c>
    </row>
    <row r="68" spans="2:4" x14ac:dyDescent="0.35">
      <c r="B68" s="3">
        <v>45785</v>
      </c>
      <c r="C68" s="4">
        <v>397.79998779296801</v>
      </c>
      <c r="D68">
        <f t="shared" si="0"/>
        <v>4.0301706587911193E-3</v>
      </c>
    </row>
    <row r="69" spans="2:4" x14ac:dyDescent="0.35">
      <c r="B69" s="3">
        <v>45786</v>
      </c>
      <c r="C69" s="4">
        <v>397.14999389648398</v>
      </c>
      <c r="D69">
        <f t="shared" si="0"/>
        <v>-1.6353080226646245E-3</v>
      </c>
    </row>
    <row r="70" spans="2:4" x14ac:dyDescent="0.35">
      <c r="B70" s="3">
        <v>45789</v>
      </c>
      <c r="C70" s="4">
        <v>382.45001220703102</v>
      </c>
      <c r="D70">
        <f t="shared" ref="D70:D133" si="1">LN(C70/C69)</f>
        <v>-3.7716070024998445E-2</v>
      </c>
    </row>
    <row r="71" spans="2:4" x14ac:dyDescent="0.35">
      <c r="B71" s="3">
        <v>45790</v>
      </c>
      <c r="C71" s="4">
        <v>384.850006103515</v>
      </c>
      <c r="D71">
        <f t="shared" si="1"/>
        <v>6.2557061539376861E-3</v>
      </c>
    </row>
    <row r="72" spans="2:4" x14ac:dyDescent="0.35">
      <c r="B72" s="3">
        <v>45791</v>
      </c>
      <c r="C72" s="4">
        <v>373.95001220703102</v>
      </c>
      <c r="D72">
        <f t="shared" si="1"/>
        <v>-2.8731532558630538E-2</v>
      </c>
    </row>
    <row r="73" spans="2:4" x14ac:dyDescent="0.35">
      <c r="B73" s="3">
        <v>45792</v>
      </c>
      <c r="C73" s="4">
        <v>384.95001220703102</v>
      </c>
      <c r="D73">
        <f t="shared" si="1"/>
        <v>2.8991356153589887E-2</v>
      </c>
    </row>
    <row r="74" spans="2:4" x14ac:dyDescent="0.35">
      <c r="B74" s="3">
        <v>45793</v>
      </c>
      <c r="C74" s="4">
        <v>376.25</v>
      </c>
      <c r="D74">
        <f t="shared" si="1"/>
        <v>-2.2859671371664954E-2</v>
      </c>
    </row>
    <row r="75" spans="2:4" x14ac:dyDescent="0.35">
      <c r="B75" s="3">
        <v>45796</v>
      </c>
      <c r="C75" s="4">
        <v>376.14999389648398</v>
      </c>
      <c r="D75">
        <f t="shared" si="1"/>
        <v>-2.6583228313721568E-4</v>
      </c>
    </row>
    <row r="76" spans="2:4" x14ac:dyDescent="0.35">
      <c r="B76" s="3">
        <v>45797</v>
      </c>
      <c r="C76" s="4">
        <v>369.29998779296801</v>
      </c>
      <c r="D76">
        <f t="shared" si="1"/>
        <v>-1.837869497594528E-2</v>
      </c>
    </row>
    <row r="77" spans="2:4" x14ac:dyDescent="0.35">
      <c r="B77" s="3">
        <v>45798</v>
      </c>
      <c r="C77" s="4">
        <v>370.29998779296801</v>
      </c>
      <c r="D77">
        <f t="shared" si="1"/>
        <v>2.7041661503136275E-3</v>
      </c>
    </row>
    <row r="78" spans="2:4" x14ac:dyDescent="0.35">
      <c r="B78" s="3">
        <v>45799</v>
      </c>
      <c r="C78" s="4">
        <v>360.75</v>
      </c>
      <c r="D78">
        <f t="shared" si="1"/>
        <v>-2.6128257300336452E-2</v>
      </c>
    </row>
    <row r="79" spans="2:4" x14ac:dyDescent="0.35">
      <c r="B79" s="3">
        <v>45800</v>
      </c>
      <c r="C79" s="4">
        <v>361</v>
      </c>
      <c r="D79">
        <f t="shared" si="1"/>
        <v>6.9276067890057459E-4</v>
      </c>
    </row>
    <row r="80" spans="2:4" x14ac:dyDescent="0.35">
      <c r="B80" s="3">
        <v>45804</v>
      </c>
      <c r="C80" s="4">
        <v>361.70001220703102</v>
      </c>
      <c r="D80">
        <f t="shared" si="1"/>
        <v>1.9372143742196826E-3</v>
      </c>
    </row>
    <row r="81" spans="2:4" x14ac:dyDescent="0.35">
      <c r="B81" s="3">
        <v>45805</v>
      </c>
      <c r="C81" s="4">
        <v>351.95001220703102</v>
      </c>
      <c r="D81">
        <f t="shared" si="1"/>
        <v>-2.7326017968968535E-2</v>
      </c>
    </row>
    <row r="82" spans="2:4" x14ac:dyDescent="0.35">
      <c r="B82" s="3">
        <v>45806</v>
      </c>
      <c r="C82" s="4">
        <v>348.39999389648398</v>
      </c>
      <c r="D82">
        <f t="shared" si="1"/>
        <v>-1.0137927278487283E-2</v>
      </c>
    </row>
    <row r="83" spans="2:4" x14ac:dyDescent="0.35">
      <c r="B83" s="3">
        <v>45807</v>
      </c>
      <c r="C83" s="4">
        <v>342.45001220703102</v>
      </c>
      <c r="D83">
        <f t="shared" si="1"/>
        <v>-1.7225530169560944E-2</v>
      </c>
    </row>
    <row r="84" spans="2:4" x14ac:dyDescent="0.35">
      <c r="B84" s="3">
        <v>45810</v>
      </c>
      <c r="C84" s="4">
        <v>344.45001220703102</v>
      </c>
      <c r="D84">
        <f t="shared" si="1"/>
        <v>5.8232801883161406E-3</v>
      </c>
    </row>
    <row r="85" spans="2:4" x14ac:dyDescent="0.35">
      <c r="B85" s="3">
        <v>45811</v>
      </c>
      <c r="C85" s="4">
        <v>340.850006103515</v>
      </c>
      <c r="D85">
        <f t="shared" si="1"/>
        <v>-1.0506461762858155E-2</v>
      </c>
    </row>
    <row r="86" spans="2:4" x14ac:dyDescent="0.35">
      <c r="B86" s="3">
        <v>45812</v>
      </c>
      <c r="C86" s="4">
        <v>346.14999389648398</v>
      </c>
      <c r="D86">
        <f t="shared" si="1"/>
        <v>1.5429673775916863E-2</v>
      </c>
    </row>
    <row r="87" spans="2:4" x14ac:dyDescent="0.35">
      <c r="B87" s="3">
        <v>45813</v>
      </c>
      <c r="C87" s="4">
        <v>359.75</v>
      </c>
      <c r="D87">
        <f t="shared" si="1"/>
        <v>3.853715627601851E-2</v>
      </c>
    </row>
    <row r="88" spans="2:4" x14ac:dyDescent="0.35">
      <c r="B88" s="3">
        <v>45814</v>
      </c>
      <c r="C88" s="4">
        <v>358.04998779296801</v>
      </c>
      <c r="D88">
        <f t="shared" si="1"/>
        <v>-4.7367384076221451E-3</v>
      </c>
    </row>
    <row r="89" spans="2:4" x14ac:dyDescent="0.35">
      <c r="B89" s="3">
        <v>45817</v>
      </c>
      <c r="C89" s="4">
        <v>361.54998779296801</v>
      </c>
      <c r="D89">
        <f t="shared" si="1"/>
        <v>9.7277034980517221E-3</v>
      </c>
    </row>
    <row r="90" spans="2:4" x14ac:dyDescent="0.35">
      <c r="B90" s="3">
        <v>45818</v>
      </c>
      <c r="C90" s="4">
        <v>355.04998779296801</v>
      </c>
      <c r="D90">
        <f t="shared" si="1"/>
        <v>-1.8141720610967992E-2</v>
      </c>
    </row>
    <row r="91" spans="2:4" x14ac:dyDescent="0.35">
      <c r="B91" s="3">
        <v>45819</v>
      </c>
      <c r="C91" s="4">
        <v>350.64999389648398</v>
      </c>
      <c r="D91">
        <f t="shared" si="1"/>
        <v>-1.2470032670310754E-2</v>
      </c>
    </row>
    <row r="92" spans="2:4" x14ac:dyDescent="0.35">
      <c r="B92" s="3">
        <v>45820</v>
      </c>
      <c r="C92" s="4">
        <v>347.79998779296801</v>
      </c>
      <c r="D92">
        <f t="shared" si="1"/>
        <v>-8.1609907542952789E-3</v>
      </c>
    </row>
    <row r="93" spans="2:4" x14ac:dyDescent="0.35">
      <c r="B93" s="3">
        <v>45821</v>
      </c>
      <c r="C93" s="4">
        <v>349.70001220703102</v>
      </c>
      <c r="D93">
        <f t="shared" si="1"/>
        <v>5.4481121541487638E-3</v>
      </c>
    </row>
    <row r="94" spans="2:4" x14ac:dyDescent="0.35">
      <c r="B94" s="3">
        <v>45824</v>
      </c>
      <c r="C94" s="4">
        <v>343.95001220703102</v>
      </c>
      <c r="D94">
        <f t="shared" si="1"/>
        <v>-1.6579345513745174E-2</v>
      </c>
    </row>
    <row r="95" spans="2:4" x14ac:dyDescent="0.35">
      <c r="B95" s="3">
        <v>45825</v>
      </c>
      <c r="C95" s="4">
        <v>335.850006103515</v>
      </c>
      <c r="D95">
        <f t="shared" si="1"/>
        <v>-2.3831683576526631E-2</v>
      </c>
    </row>
    <row r="96" spans="2:4" x14ac:dyDescent="0.35">
      <c r="B96" s="3">
        <v>45826</v>
      </c>
      <c r="C96" s="4">
        <v>324.89999389648398</v>
      </c>
      <c r="D96">
        <f t="shared" si="1"/>
        <v>-3.3147225996984789E-2</v>
      </c>
    </row>
    <row r="97" spans="2:4" x14ac:dyDescent="0.35">
      <c r="B97" s="3">
        <v>45828</v>
      </c>
      <c r="C97" s="4">
        <v>319.04998779296801</v>
      </c>
      <c r="D97">
        <f t="shared" si="1"/>
        <v>-1.8169631835430688E-2</v>
      </c>
    </row>
    <row r="98" spans="2:4" x14ac:dyDescent="0.35">
      <c r="B98" s="3">
        <v>45831</v>
      </c>
      <c r="C98" s="4">
        <v>330.29998779296801</v>
      </c>
      <c r="D98">
        <f t="shared" si="1"/>
        <v>3.4653503385540706E-2</v>
      </c>
    </row>
    <row r="99" spans="2:4" x14ac:dyDescent="0.35">
      <c r="B99" s="3">
        <v>45832</v>
      </c>
      <c r="C99" s="4">
        <v>315.350006103515</v>
      </c>
      <c r="D99">
        <f t="shared" si="1"/>
        <v>-4.6318142974942043E-2</v>
      </c>
    </row>
    <row r="100" spans="2:4" x14ac:dyDescent="0.35">
      <c r="B100" s="3">
        <v>45833</v>
      </c>
      <c r="C100" s="4">
        <v>308.64999389648398</v>
      </c>
      <c r="D100">
        <f t="shared" si="1"/>
        <v>-2.1475223399365962E-2</v>
      </c>
    </row>
    <row r="101" spans="2:4" x14ac:dyDescent="0.35">
      <c r="B101" s="3">
        <v>45834</v>
      </c>
      <c r="C101" s="4">
        <v>309.5</v>
      </c>
      <c r="D101">
        <f t="shared" si="1"/>
        <v>2.7501630596237711E-3</v>
      </c>
    </row>
    <row r="102" spans="2:4" x14ac:dyDescent="0.35">
      <c r="B102" s="3">
        <v>45835</v>
      </c>
      <c r="C102" s="4">
        <v>309.89999389648398</v>
      </c>
      <c r="D102">
        <f t="shared" si="1"/>
        <v>1.2915529739370353E-3</v>
      </c>
    </row>
    <row r="103" spans="2:4" x14ac:dyDescent="0.35">
      <c r="B103" s="3">
        <v>45838</v>
      </c>
      <c r="C103" s="4">
        <v>306.75</v>
      </c>
      <c r="D103">
        <f t="shared" si="1"/>
        <v>-1.0216561507566968E-2</v>
      </c>
    </row>
    <row r="104" spans="2:4" x14ac:dyDescent="0.35">
      <c r="B104" s="3">
        <v>45839</v>
      </c>
      <c r="C104" s="4">
        <v>298.850006103515</v>
      </c>
      <c r="D104">
        <f t="shared" si="1"/>
        <v>-2.6091287897418387E-2</v>
      </c>
    </row>
    <row r="105" spans="2:4" x14ac:dyDescent="0.35">
      <c r="B105" s="3">
        <v>45840</v>
      </c>
      <c r="C105" s="4">
        <v>297.95001220703102</v>
      </c>
      <c r="D105">
        <f t="shared" si="1"/>
        <v>-3.0160675305498153E-3</v>
      </c>
    </row>
    <row r="106" spans="2:4" x14ac:dyDescent="0.35">
      <c r="B106" s="3">
        <v>45841</v>
      </c>
      <c r="C106" s="4">
        <v>292.64999389648398</v>
      </c>
      <c r="D106">
        <f t="shared" si="1"/>
        <v>-1.7948393281848996E-2</v>
      </c>
    </row>
    <row r="107" spans="2:4" x14ac:dyDescent="0.35">
      <c r="B107" s="3">
        <v>45842</v>
      </c>
      <c r="C107" s="4">
        <v>292.64999389648398</v>
      </c>
      <c r="D107">
        <f t="shared" si="1"/>
        <v>0</v>
      </c>
    </row>
    <row r="108" spans="2:4" x14ac:dyDescent="0.35">
      <c r="B108" s="3">
        <v>45845</v>
      </c>
      <c r="C108" s="4">
        <v>280.04998779296801</v>
      </c>
      <c r="D108">
        <f t="shared" si="1"/>
        <v>-4.4009219814122424E-2</v>
      </c>
    </row>
    <row r="109" spans="2:4" x14ac:dyDescent="0.35">
      <c r="B109" s="3">
        <v>45846</v>
      </c>
      <c r="C109" s="4">
        <v>287.39999389648398</v>
      </c>
      <c r="D109">
        <f t="shared" si="1"/>
        <v>2.5906837340835369E-2</v>
      </c>
    </row>
    <row r="110" spans="2:4" x14ac:dyDescent="0.35">
      <c r="B110" s="3">
        <v>45847</v>
      </c>
      <c r="C110" s="4">
        <v>285.850006103515</v>
      </c>
      <c r="D110">
        <f t="shared" si="1"/>
        <v>-5.4077333457763187E-3</v>
      </c>
    </row>
    <row r="111" spans="2:4" x14ac:dyDescent="0.35">
      <c r="B111" s="3">
        <v>45848</v>
      </c>
      <c r="C111" s="4">
        <v>289.89999389648398</v>
      </c>
      <c r="D111">
        <f t="shared" si="1"/>
        <v>1.406879581160247E-2</v>
      </c>
    </row>
    <row r="112" spans="2:4" x14ac:dyDescent="0.35">
      <c r="B112" s="3">
        <v>45849</v>
      </c>
      <c r="C112" s="4">
        <v>288.600006103515</v>
      </c>
      <c r="D112">
        <f t="shared" si="1"/>
        <v>-4.4943473852717634E-3</v>
      </c>
    </row>
    <row r="113" spans="2:4" x14ac:dyDescent="0.35">
      <c r="B113" s="3">
        <v>45852</v>
      </c>
      <c r="C113" s="4">
        <v>305.70001220703102</v>
      </c>
      <c r="D113">
        <f t="shared" si="1"/>
        <v>5.7562601339723796E-2</v>
      </c>
    </row>
    <row r="114" spans="2:4" x14ac:dyDescent="0.35">
      <c r="B114" s="3">
        <v>45853</v>
      </c>
      <c r="C114" s="4">
        <v>301.600006103515</v>
      </c>
      <c r="D114">
        <f t="shared" si="1"/>
        <v>-1.3502612457275199E-2</v>
      </c>
    </row>
    <row r="115" spans="2:4" x14ac:dyDescent="0.35">
      <c r="B115" s="3">
        <v>45854</v>
      </c>
      <c r="C115" s="4">
        <v>314.54998779296801</v>
      </c>
      <c r="D115">
        <f t="shared" si="1"/>
        <v>4.2041350837196102E-2</v>
      </c>
    </row>
    <row r="116" spans="2:4" x14ac:dyDescent="0.35">
      <c r="B116" s="3">
        <v>45855</v>
      </c>
      <c r="C116" s="4">
        <v>312.5</v>
      </c>
      <c r="D116">
        <f t="shared" si="1"/>
        <v>-6.5385380316593279E-3</v>
      </c>
    </row>
    <row r="117" spans="2:4" x14ac:dyDescent="0.35">
      <c r="B117" s="3">
        <v>45856</v>
      </c>
      <c r="C117" s="4">
        <v>308.89999389648398</v>
      </c>
      <c r="D117">
        <f t="shared" si="1"/>
        <v>-1.1586889010793843E-2</v>
      </c>
    </row>
    <row r="118" spans="2:4" x14ac:dyDescent="0.35">
      <c r="B118" s="3">
        <v>45859</v>
      </c>
      <c r="C118" s="4">
        <v>297.25</v>
      </c>
      <c r="D118">
        <f t="shared" si="1"/>
        <v>-3.8444044594771083E-2</v>
      </c>
    </row>
    <row r="119" spans="2:4" x14ac:dyDescent="0.35">
      <c r="B119" s="3">
        <v>45860</v>
      </c>
      <c r="C119" s="4">
        <v>296.350006103515</v>
      </c>
      <c r="D119">
        <f t="shared" si="1"/>
        <v>-3.0323267414141216E-3</v>
      </c>
    </row>
    <row r="120" spans="2:4" x14ac:dyDescent="0.35">
      <c r="B120" s="3">
        <v>45861</v>
      </c>
      <c r="C120" s="4">
        <v>301.350006103515</v>
      </c>
      <c r="D120">
        <f t="shared" si="1"/>
        <v>1.6731191353483218E-2</v>
      </c>
    </row>
    <row r="121" spans="2:4" x14ac:dyDescent="0.35">
      <c r="B121" s="3">
        <v>45862</v>
      </c>
      <c r="C121" s="4">
        <v>304.850006103515</v>
      </c>
      <c r="D121">
        <f t="shared" si="1"/>
        <v>1.1547472192235729E-2</v>
      </c>
    </row>
    <row r="122" spans="2:4" x14ac:dyDescent="0.35">
      <c r="B122" s="3">
        <v>45863</v>
      </c>
      <c r="C122" s="4">
        <v>297.54998779296801</v>
      </c>
      <c r="D122">
        <f t="shared" si="1"/>
        <v>-2.4237635309481188E-2</v>
      </c>
    </row>
    <row r="123" spans="2:4" x14ac:dyDescent="0.35">
      <c r="B123" s="3">
        <v>45866</v>
      </c>
      <c r="C123" s="4">
        <v>301.70001220703102</v>
      </c>
      <c r="D123">
        <f t="shared" si="1"/>
        <v>1.3850949560125152E-2</v>
      </c>
    </row>
    <row r="124" spans="2:4" x14ac:dyDescent="0.35">
      <c r="B124" s="3">
        <v>45867</v>
      </c>
      <c r="C124" s="4">
        <v>296.5</v>
      </c>
      <c r="D124">
        <f t="shared" si="1"/>
        <v>-1.7385968188059871E-2</v>
      </c>
    </row>
    <row r="125" spans="2:4" x14ac:dyDescent="0.35">
      <c r="B125" s="3">
        <v>45868</v>
      </c>
      <c r="C125" s="4">
        <v>293.39999389648398</v>
      </c>
      <c r="D125">
        <f t="shared" si="1"/>
        <v>-1.0510373531612155E-2</v>
      </c>
    </row>
    <row r="126" spans="2:4" x14ac:dyDescent="0.35">
      <c r="B126" s="3">
        <v>45869</v>
      </c>
      <c r="C126" s="4">
        <v>295.79998779296801</v>
      </c>
      <c r="D126">
        <f t="shared" si="1"/>
        <v>8.1466641026738257E-3</v>
      </c>
    </row>
    <row r="127" spans="2:4" x14ac:dyDescent="0.35">
      <c r="B127" s="3">
        <v>45870</v>
      </c>
      <c r="C127" s="4">
        <v>284.20001220703102</v>
      </c>
      <c r="D127">
        <f t="shared" si="1"/>
        <v>-4.0005250393587127E-2</v>
      </c>
    </row>
    <row r="128" spans="2:4" x14ac:dyDescent="0.35">
      <c r="B128" s="3">
        <v>45873</v>
      </c>
      <c r="C128" s="4">
        <v>288.54998779296801</v>
      </c>
      <c r="D128">
        <f t="shared" si="1"/>
        <v>1.5190080236982133E-2</v>
      </c>
    </row>
    <row r="129" spans="2:4" x14ac:dyDescent="0.35">
      <c r="B129" s="3">
        <v>45874</v>
      </c>
      <c r="C129" s="4">
        <v>298.70001220703102</v>
      </c>
      <c r="D129">
        <f t="shared" si="1"/>
        <v>3.4571427237020801E-2</v>
      </c>
    </row>
    <row r="130" spans="2:4" x14ac:dyDescent="0.35">
      <c r="B130" s="3">
        <v>45875</v>
      </c>
      <c r="C130" s="4">
        <v>293.39999389648398</v>
      </c>
      <c r="D130">
        <f t="shared" si="1"/>
        <v>-1.7902921183089882E-2</v>
      </c>
    </row>
    <row r="131" spans="2:4" x14ac:dyDescent="0.35">
      <c r="B131" s="3">
        <v>45876</v>
      </c>
      <c r="C131" s="4">
        <v>297.79998779296801</v>
      </c>
      <c r="D131">
        <f t="shared" si="1"/>
        <v>1.4885234353034609E-2</v>
      </c>
    </row>
    <row r="132" spans="2:4" x14ac:dyDescent="0.35">
      <c r="B132" s="3">
        <v>45877</v>
      </c>
      <c r="C132" s="4">
        <v>309.350006103515</v>
      </c>
      <c r="D132">
        <f t="shared" si="1"/>
        <v>3.805126244792259E-2</v>
      </c>
    </row>
    <row r="133" spans="2:4" x14ac:dyDescent="0.35">
      <c r="B133" s="3">
        <v>45880</v>
      </c>
      <c r="C133" s="4">
        <v>320.70001220703102</v>
      </c>
      <c r="D133">
        <f t="shared" si="1"/>
        <v>3.6032803055690801E-2</v>
      </c>
    </row>
    <row r="134" spans="2:4" x14ac:dyDescent="0.35">
      <c r="B134" s="3">
        <v>45881</v>
      </c>
      <c r="C134" s="4">
        <v>315.14999389648398</v>
      </c>
      <c r="D134">
        <f t="shared" ref="D134:D197" si="2">LN(C134/C133)</f>
        <v>-1.7457448170716122E-2</v>
      </c>
    </row>
    <row r="135" spans="2:4" x14ac:dyDescent="0.35">
      <c r="B135" s="3">
        <v>45882</v>
      </c>
      <c r="C135" s="4">
        <v>319.600006103515</v>
      </c>
      <c r="D135">
        <f t="shared" si="2"/>
        <v>1.4021536397375522E-2</v>
      </c>
    </row>
    <row r="136" spans="2:4" x14ac:dyDescent="0.35">
      <c r="B136" s="3">
        <v>45883</v>
      </c>
      <c r="C136" s="4">
        <v>326.5</v>
      </c>
      <c r="D136">
        <f t="shared" si="2"/>
        <v>2.1359715727010287E-2</v>
      </c>
    </row>
    <row r="137" spans="2:4" x14ac:dyDescent="0.35">
      <c r="B137" s="3">
        <v>45884</v>
      </c>
      <c r="C137" s="4">
        <v>341.64999389648398</v>
      </c>
      <c r="D137">
        <f t="shared" si="2"/>
        <v>4.5356854645480581E-2</v>
      </c>
    </row>
    <row r="138" spans="2:4" x14ac:dyDescent="0.35">
      <c r="B138" s="3">
        <v>45887</v>
      </c>
      <c r="C138" s="4">
        <v>343.600006103515</v>
      </c>
      <c r="D138">
        <f t="shared" si="2"/>
        <v>5.6914045115650496E-3</v>
      </c>
    </row>
    <row r="139" spans="2:4" x14ac:dyDescent="0.35">
      <c r="B139" s="3">
        <v>45888</v>
      </c>
      <c r="C139" s="4">
        <v>356.20001220703102</v>
      </c>
      <c r="D139">
        <f t="shared" si="2"/>
        <v>3.601419725218942E-2</v>
      </c>
    </row>
    <row r="140" spans="2:4" x14ac:dyDescent="0.35">
      <c r="B140" s="3">
        <v>45889</v>
      </c>
      <c r="C140" s="4">
        <v>360.25</v>
      </c>
      <c r="D140">
        <f t="shared" si="2"/>
        <v>1.1305829753910724E-2</v>
      </c>
    </row>
    <row r="141" spans="2:4" x14ac:dyDescent="0.35">
      <c r="B141" s="3">
        <v>45890</v>
      </c>
      <c r="C141" s="4">
        <v>375.25</v>
      </c>
      <c r="D141">
        <f t="shared" si="2"/>
        <v>4.0794235633939871E-2</v>
      </c>
    </row>
    <row r="142" spans="2:4" x14ac:dyDescent="0.35">
      <c r="B142" s="3">
        <v>45891</v>
      </c>
      <c r="C142" s="4">
        <v>390.64999389648398</v>
      </c>
      <c r="D142">
        <f t="shared" si="2"/>
        <v>4.0219532305180751E-2</v>
      </c>
    </row>
    <row r="143" spans="2:4" x14ac:dyDescent="0.35">
      <c r="B143" s="3">
        <v>45894</v>
      </c>
      <c r="C143" s="4">
        <v>389.95001220703102</v>
      </c>
      <c r="D143">
        <f t="shared" si="2"/>
        <v>-1.7934457381526419E-3</v>
      </c>
    </row>
    <row r="144" spans="2:4" x14ac:dyDescent="0.35">
      <c r="B144" s="3">
        <v>45895</v>
      </c>
      <c r="C144" s="4">
        <v>384.04998779296801</v>
      </c>
      <c r="D144">
        <f t="shared" si="2"/>
        <v>-1.5245836420916136E-2</v>
      </c>
    </row>
    <row r="145" spans="2:4" x14ac:dyDescent="0.35">
      <c r="B145" s="3">
        <v>45896</v>
      </c>
      <c r="C145" s="4">
        <v>393.79998779296801</v>
      </c>
      <c r="D145">
        <f t="shared" si="2"/>
        <v>2.5070414547291635E-2</v>
      </c>
    </row>
    <row r="146" spans="2:4" x14ac:dyDescent="0.35">
      <c r="B146" s="3">
        <v>45897</v>
      </c>
      <c r="C146" s="4">
        <v>387.75</v>
      </c>
      <c r="D146">
        <f t="shared" si="2"/>
        <v>-1.5482333150326696E-2</v>
      </c>
    </row>
    <row r="147" spans="2:4" x14ac:dyDescent="0.35">
      <c r="B147" s="3">
        <v>45898</v>
      </c>
      <c r="C147" s="4">
        <v>396.850006103515</v>
      </c>
      <c r="D147">
        <f t="shared" si="2"/>
        <v>2.3197588860140572E-2</v>
      </c>
    </row>
    <row r="148" spans="2:4" x14ac:dyDescent="0.35">
      <c r="B148" s="3">
        <v>45902</v>
      </c>
      <c r="C148" s="4">
        <v>382.20001220703102</v>
      </c>
      <c r="D148">
        <f t="shared" si="2"/>
        <v>-3.7614327171759887E-2</v>
      </c>
    </row>
    <row r="149" spans="2:4" x14ac:dyDescent="0.35">
      <c r="B149" s="3">
        <v>45903</v>
      </c>
      <c r="C149" s="4">
        <v>385.25</v>
      </c>
      <c r="D149">
        <f t="shared" si="2"/>
        <v>7.9484104551963437E-3</v>
      </c>
    </row>
    <row r="150" spans="2:4" x14ac:dyDescent="0.35">
      <c r="B150" s="3">
        <v>45904</v>
      </c>
      <c r="C150" s="4">
        <v>385.75</v>
      </c>
      <c r="D150">
        <f t="shared" si="2"/>
        <v>1.2970170430450251E-3</v>
      </c>
    </row>
    <row r="151" spans="2:4" x14ac:dyDescent="0.35">
      <c r="B151" s="3">
        <v>45905</v>
      </c>
      <c r="C151" s="4">
        <v>385.600006103515</v>
      </c>
      <c r="D151">
        <f t="shared" si="2"/>
        <v>-3.8891267826204906E-4</v>
      </c>
    </row>
    <row r="152" spans="2:4" x14ac:dyDescent="0.35">
      <c r="B152" s="3">
        <v>45908</v>
      </c>
      <c r="C152" s="4">
        <v>397.79998779296801</v>
      </c>
      <c r="D152">
        <f t="shared" si="2"/>
        <v>3.1148757168508161E-2</v>
      </c>
    </row>
    <row r="153" spans="2:4" x14ac:dyDescent="0.35">
      <c r="B153" s="3">
        <v>45909</v>
      </c>
      <c r="C153" s="4">
        <v>393</v>
      </c>
      <c r="D153">
        <f t="shared" si="2"/>
        <v>-1.2139723864255157E-2</v>
      </c>
    </row>
    <row r="154" spans="2:4" x14ac:dyDescent="0.35">
      <c r="B154" s="3">
        <v>45910</v>
      </c>
      <c r="C154" s="4">
        <v>401</v>
      </c>
      <c r="D154">
        <f t="shared" si="2"/>
        <v>2.0151815437307912E-2</v>
      </c>
    </row>
    <row r="155" spans="2:4" x14ac:dyDescent="0.35">
      <c r="B155" s="3">
        <v>45911</v>
      </c>
      <c r="C155" s="4">
        <v>400.04998779296801</v>
      </c>
      <c r="D155">
        <f t="shared" si="2"/>
        <v>-2.3719185242024069E-3</v>
      </c>
    </row>
    <row r="156" spans="2:4" x14ac:dyDescent="0.35">
      <c r="B156" s="3">
        <v>45912</v>
      </c>
      <c r="C156" s="4">
        <v>410.64999389648398</v>
      </c>
      <c r="D156">
        <f t="shared" si="2"/>
        <v>2.6151746540773346E-2</v>
      </c>
    </row>
    <row r="157" spans="2:4" x14ac:dyDescent="0.35">
      <c r="B157" s="3">
        <v>45915</v>
      </c>
      <c r="C157" s="4">
        <v>432.350006103515</v>
      </c>
      <c r="D157">
        <f t="shared" si="2"/>
        <v>5.1494204200368425E-2</v>
      </c>
    </row>
    <row r="158" spans="2:4" x14ac:dyDescent="0.35">
      <c r="B158" s="3">
        <v>45916</v>
      </c>
      <c r="C158" s="4">
        <v>422.25</v>
      </c>
      <c r="D158">
        <f t="shared" si="2"/>
        <v>-2.3637903835599199E-2</v>
      </c>
    </row>
    <row r="159" spans="2:4" x14ac:dyDescent="0.35">
      <c r="B159" s="3">
        <v>45917</v>
      </c>
      <c r="C159" s="4">
        <v>388.54998779296801</v>
      </c>
      <c r="D159">
        <f t="shared" si="2"/>
        <v>-8.3175725449547086E-2</v>
      </c>
    </row>
    <row r="160" spans="2:4" x14ac:dyDescent="0.35">
      <c r="B160" s="3">
        <v>45918</v>
      </c>
      <c r="C160" s="4">
        <v>385.850006103515</v>
      </c>
      <c r="D160">
        <f t="shared" si="2"/>
        <v>-6.9731215163883163E-3</v>
      </c>
    </row>
    <row r="161" spans="2:4" x14ac:dyDescent="0.35">
      <c r="B161" s="3">
        <v>45919</v>
      </c>
      <c r="C161" s="4">
        <v>366.5</v>
      </c>
      <c r="D161">
        <f t="shared" si="2"/>
        <v>-5.1450187395267792E-2</v>
      </c>
    </row>
    <row r="162" spans="2:4" x14ac:dyDescent="0.35">
      <c r="B162" s="3">
        <v>45922</v>
      </c>
      <c r="C162" s="4">
        <v>367.350006103515</v>
      </c>
      <c r="D162">
        <f t="shared" si="2"/>
        <v>2.3165673545657143E-3</v>
      </c>
    </row>
    <row r="163" spans="2:4" x14ac:dyDescent="0.35">
      <c r="B163" s="3">
        <v>45923</v>
      </c>
      <c r="C163" s="4">
        <v>350.14999389648398</v>
      </c>
      <c r="D163">
        <f t="shared" si="2"/>
        <v>-4.7953472010892173E-2</v>
      </c>
    </row>
    <row r="164" spans="2:4" x14ac:dyDescent="0.35">
      <c r="B164" s="3">
        <v>45924</v>
      </c>
      <c r="C164" s="4">
        <v>367.75</v>
      </c>
      <c r="D164">
        <f t="shared" si="2"/>
        <v>4.9041742811167022E-2</v>
      </c>
    </row>
    <row r="165" spans="2:4" x14ac:dyDescent="0.35">
      <c r="B165" s="3">
        <v>45925</v>
      </c>
      <c r="C165" s="4">
        <v>371.350006103515</v>
      </c>
      <c r="D165">
        <f t="shared" si="2"/>
        <v>9.7416710697756544E-3</v>
      </c>
    </row>
    <row r="166" spans="2:4" x14ac:dyDescent="0.35">
      <c r="B166" s="3">
        <v>45926</v>
      </c>
      <c r="C166" s="4">
        <v>378.04998779296801</v>
      </c>
      <c r="D166">
        <f t="shared" si="2"/>
        <v>1.7881399163491556E-2</v>
      </c>
    </row>
    <row r="167" spans="2:4" x14ac:dyDescent="0.35">
      <c r="B167" s="3">
        <v>45929</v>
      </c>
      <c r="C167" s="4">
        <v>372.20001220703102</v>
      </c>
      <c r="D167">
        <f t="shared" si="2"/>
        <v>-1.5595052709697417E-2</v>
      </c>
    </row>
    <row r="168" spans="2:4" x14ac:dyDescent="0.35">
      <c r="B168" s="3">
        <v>45930</v>
      </c>
      <c r="C168" s="4">
        <v>374.850006103515</v>
      </c>
      <c r="D168">
        <f t="shared" si="2"/>
        <v>7.0945852265074452E-3</v>
      </c>
    </row>
    <row r="169" spans="2:4" x14ac:dyDescent="0.35">
      <c r="B169" s="3">
        <v>45931</v>
      </c>
      <c r="C169" s="4">
        <v>383.89999389648398</v>
      </c>
      <c r="D169">
        <f t="shared" si="2"/>
        <v>2.3856123876414718E-2</v>
      </c>
    </row>
    <row r="170" spans="2:4" x14ac:dyDescent="0.35">
      <c r="B170" s="3">
        <v>45932</v>
      </c>
      <c r="C170" s="4">
        <v>378.100006103515</v>
      </c>
      <c r="D170">
        <f t="shared" si="2"/>
        <v>-1.5223359068557077E-2</v>
      </c>
    </row>
    <row r="171" spans="2:4" x14ac:dyDescent="0.35">
      <c r="B171" s="3">
        <v>45933</v>
      </c>
      <c r="C171" s="4">
        <v>390.75</v>
      </c>
      <c r="D171">
        <f t="shared" si="2"/>
        <v>3.2909242262104448E-2</v>
      </c>
    </row>
    <row r="172" spans="2:4" x14ac:dyDescent="0.35">
      <c r="B172" s="3">
        <v>45936</v>
      </c>
      <c r="C172" s="4">
        <v>381.350006103515</v>
      </c>
      <c r="D172">
        <f t="shared" si="2"/>
        <v>-2.4350364686316898E-2</v>
      </c>
    </row>
    <row r="173" spans="2:4" x14ac:dyDescent="0.35">
      <c r="B173" s="3">
        <v>45937</v>
      </c>
      <c r="C173" s="4">
        <v>375.39999389648398</v>
      </c>
      <c r="D173">
        <f t="shared" si="2"/>
        <v>-1.5725496721560903E-2</v>
      </c>
    </row>
    <row r="174" spans="2:4" x14ac:dyDescent="0.35">
      <c r="B174" s="3">
        <v>45938</v>
      </c>
      <c r="C174" s="4">
        <v>385.100006103515</v>
      </c>
      <c r="D174">
        <f t="shared" si="2"/>
        <v>2.5510948776324021E-2</v>
      </c>
    </row>
    <row r="175" spans="2:4" x14ac:dyDescent="0.35">
      <c r="B175" s="3">
        <v>45939</v>
      </c>
      <c r="C175" s="4">
        <v>377.25</v>
      </c>
      <c r="D175">
        <f t="shared" si="2"/>
        <v>-2.0594959022073835E-2</v>
      </c>
    </row>
    <row r="176" spans="2:4" x14ac:dyDescent="0.35">
      <c r="B176" s="3">
        <v>45940</v>
      </c>
      <c r="C176" s="4">
        <v>373.04998779296801</v>
      </c>
      <c r="D176">
        <f t="shared" si="2"/>
        <v>-1.1195671452676378E-2</v>
      </c>
    </row>
    <row r="177" spans="2:4" x14ac:dyDescent="0.35">
      <c r="B177" s="3">
        <v>45943</v>
      </c>
      <c r="C177" s="4">
        <v>385.20001220703102</v>
      </c>
      <c r="D177">
        <f t="shared" si="2"/>
        <v>3.2050285418799805E-2</v>
      </c>
    </row>
    <row r="178" spans="2:4" x14ac:dyDescent="0.35">
      <c r="B178" s="3">
        <v>45944</v>
      </c>
      <c r="C178" s="4">
        <v>399.64999389648398</v>
      </c>
      <c r="D178">
        <f t="shared" si="2"/>
        <v>3.6826437185793155E-2</v>
      </c>
    </row>
    <row r="179" spans="2:4" x14ac:dyDescent="0.35">
      <c r="B179" s="3">
        <v>45945</v>
      </c>
      <c r="C179" s="4">
        <v>394.89999389648398</v>
      </c>
      <c r="D179">
        <f t="shared" si="2"/>
        <v>-1.1956595963123281E-2</v>
      </c>
    </row>
    <row r="180" spans="2:4" x14ac:dyDescent="0.35">
      <c r="B180" s="3">
        <v>45946</v>
      </c>
      <c r="C180" s="4">
        <v>393.79998779296801</v>
      </c>
      <c r="D180">
        <f t="shared" si="2"/>
        <v>-2.7894176297765024E-3</v>
      </c>
    </row>
    <row r="181" spans="2:4" x14ac:dyDescent="0.35">
      <c r="B181" s="3">
        <v>45947</v>
      </c>
      <c r="C181" s="4">
        <v>397.45001220703102</v>
      </c>
      <c r="D181">
        <f t="shared" si="2"/>
        <v>9.2260355255214775E-3</v>
      </c>
    </row>
    <row r="182" spans="2:4" x14ac:dyDescent="0.35">
      <c r="B182" s="3">
        <v>45950</v>
      </c>
      <c r="C182" s="4">
        <v>406.04998779296801</v>
      </c>
      <c r="D182">
        <f t="shared" si="2"/>
        <v>2.1407103933043944E-2</v>
      </c>
    </row>
    <row r="183" spans="2:4" x14ac:dyDescent="0.35">
      <c r="B183" s="3">
        <v>45951</v>
      </c>
      <c r="C183" s="4">
        <v>413.54998779296801</v>
      </c>
      <c r="D183">
        <f t="shared" si="2"/>
        <v>1.8302121954705496E-2</v>
      </c>
    </row>
    <row r="184" spans="2:4" x14ac:dyDescent="0.35">
      <c r="B184" s="3">
        <v>45952</v>
      </c>
      <c r="C184" s="4">
        <v>420.850006103515</v>
      </c>
      <c r="D184">
        <f t="shared" si="2"/>
        <v>1.7498093540166616E-2</v>
      </c>
    </row>
    <row r="185" spans="2:4" x14ac:dyDescent="0.35">
      <c r="B185" s="3">
        <v>45953</v>
      </c>
      <c r="C185" s="4">
        <v>410.14999389648398</v>
      </c>
      <c r="D185">
        <f t="shared" si="2"/>
        <v>-2.5753558592833941E-2</v>
      </c>
    </row>
    <row r="186" spans="2:4" x14ac:dyDescent="0.35">
      <c r="B186" s="3">
        <v>45954</v>
      </c>
      <c r="C186" s="4">
        <v>403</v>
      </c>
      <c r="D186">
        <f t="shared" si="2"/>
        <v>-1.7586369620895707E-2</v>
      </c>
    </row>
    <row r="187" spans="2:4" x14ac:dyDescent="0.35">
      <c r="B187" s="3">
        <v>45957</v>
      </c>
      <c r="C187" s="4">
        <v>390.100006103515</v>
      </c>
      <c r="D187">
        <f t="shared" si="2"/>
        <v>-3.2533429788045659E-2</v>
      </c>
    </row>
    <row r="188" spans="2:4" x14ac:dyDescent="0.35">
      <c r="B188" s="3">
        <v>45958</v>
      </c>
      <c r="C188" s="4">
        <v>387.89999389648398</v>
      </c>
      <c r="D188">
        <f t="shared" si="2"/>
        <v>-5.655573447482712E-3</v>
      </c>
    </row>
    <row r="189" spans="2:4" x14ac:dyDescent="0.35">
      <c r="B189" s="3">
        <v>45959</v>
      </c>
      <c r="C189" s="4">
        <v>390.70001220703102</v>
      </c>
      <c r="D189">
        <f t="shared" si="2"/>
        <v>7.1924745938703114E-3</v>
      </c>
    </row>
    <row r="190" spans="2:4" x14ac:dyDescent="0.35">
      <c r="B190" s="3">
        <v>45960</v>
      </c>
      <c r="C190" s="4">
        <v>392</v>
      </c>
      <c r="D190">
        <f t="shared" si="2"/>
        <v>3.3218064854375852E-3</v>
      </c>
    </row>
    <row r="191" spans="2:4" x14ac:dyDescent="0.35">
      <c r="B191" s="3">
        <v>45961</v>
      </c>
      <c r="C191" s="4">
        <v>392.04998779296801</v>
      </c>
      <c r="D191">
        <f t="shared" si="2"/>
        <v>1.2751175005160228E-4</v>
      </c>
    </row>
    <row r="192" spans="2:4" x14ac:dyDescent="0.35">
      <c r="B192" s="3">
        <v>45964</v>
      </c>
      <c r="C192" s="4">
        <v>406.64999389648398</v>
      </c>
      <c r="D192">
        <f t="shared" si="2"/>
        <v>3.6563498063008876E-2</v>
      </c>
    </row>
    <row r="193" spans="2:4" x14ac:dyDescent="0.35">
      <c r="B193" s="3">
        <v>45965</v>
      </c>
      <c r="C193" s="4">
        <v>405.25</v>
      </c>
      <c r="D193">
        <f t="shared" si="2"/>
        <v>-3.4486889877375134E-3</v>
      </c>
    </row>
    <row r="194" spans="2:4" x14ac:dyDescent="0.35">
      <c r="B194" s="3">
        <v>45966</v>
      </c>
      <c r="C194" s="4">
        <v>413.600006103515</v>
      </c>
      <c r="D194">
        <f t="shared" si="2"/>
        <v>2.0395177335481674E-2</v>
      </c>
    </row>
    <row r="195" spans="2:4" x14ac:dyDescent="0.35">
      <c r="B195" s="3">
        <v>45967</v>
      </c>
      <c r="C195" s="4">
        <v>396.75</v>
      </c>
      <c r="D195">
        <f t="shared" si="2"/>
        <v>-4.1592978544748679E-2</v>
      </c>
    </row>
    <row r="196" spans="2:4" x14ac:dyDescent="0.35">
      <c r="B196" s="3">
        <v>45968</v>
      </c>
      <c r="C196" s="4">
        <v>407.79998779296801</v>
      </c>
      <c r="D196">
        <f t="shared" si="2"/>
        <v>2.7470468799966365E-2</v>
      </c>
    </row>
    <row r="197" spans="2:4" x14ac:dyDescent="0.35">
      <c r="B197" s="3">
        <v>45971</v>
      </c>
      <c r="C197" s="4">
        <v>414.75</v>
      </c>
      <c r="D197">
        <f t="shared" si="2"/>
        <v>1.6899100864069101E-2</v>
      </c>
    </row>
    <row r="198" spans="2:4" x14ac:dyDescent="0.35">
      <c r="B198" s="3">
        <v>45972</v>
      </c>
      <c r="C198" s="4">
        <v>422.70001220703102</v>
      </c>
      <c r="D198">
        <f t="shared" ref="D198:D257" si="3">LN(C198/C197)</f>
        <v>1.8986807380900684E-2</v>
      </c>
    </row>
    <row r="199" spans="2:4" x14ac:dyDescent="0.35">
      <c r="B199" s="3">
        <v>45973</v>
      </c>
      <c r="C199" s="4">
        <v>403.64999389648398</v>
      </c>
      <c r="D199">
        <f t="shared" si="3"/>
        <v>-4.6114585731242781E-2</v>
      </c>
    </row>
    <row r="200" spans="2:4" x14ac:dyDescent="0.35">
      <c r="B200" s="3">
        <v>45974</v>
      </c>
      <c r="C200" s="4">
        <v>401.70001220703102</v>
      </c>
      <c r="D200">
        <f t="shared" si="3"/>
        <v>-4.8425789665489652E-3</v>
      </c>
    </row>
    <row r="201" spans="2:4" x14ac:dyDescent="0.35">
      <c r="B201" s="3">
        <v>45975</v>
      </c>
      <c r="C201" s="4">
        <v>399.79998779296801</v>
      </c>
      <c r="D201">
        <f t="shared" si="3"/>
        <v>-4.7411802202099295E-3</v>
      </c>
    </row>
    <row r="202" spans="2:4" x14ac:dyDescent="0.35">
      <c r="B202" s="3">
        <v>45978</v>
      </c>
      <c r="C202" s="4">
        <v>402.54998779296801</v>
      </c>
      <c r="D202">
        <f t="shared" si="3"/>
        <v>6.8548908882737087E-3</v>
      </c>
    </row>
    <row r="203" spans="2:4" x14ac:dyDescent="0.35">
      <c r="B203" s="3">
        <v>45979</v>
      </c>
      <c r="C203" s="4">
        <v>415.350006103515</v>
      </c>
      <c r="D203">
        <f t="shared" si="3"/>
        <v>3.130227055822582E-2</v>
      </c>
    </row>
    <row r="204" spans="2:4" x14ac:dyDescent="0.35">
      <c r="B204" s="3">
        <v>45980</v>
      </c>
      <c r="C204" s="4">
        <v>404.5</v>
      </c>
      <c r="D204">
        <f t="shared" si="3"/>
        <v>-2.6469816481405836E-2</v>
      </c>
    </row>
    <row r="205" spans="2:4" x14ac:dyDescent="0.35">
      <c r="B205" s="3">
        <v>45981</v>
      </c>
      <c r="C205" s="4">
        <v>406.5</v>
      </c>
      <c r="D205">
        <f t="shared" si="3"/>
        <v>4.9321924893188721E-3</v>
      </c>
    </row>
    <row r="206" spans="2:4" x14ac:dyDescent="0.35">
      <c r="B206" s="3">
        <v>45982</v>
      </c>
      <c r="C206" s="4">
        <v>400</v>
      </c>
      <c r="D206">
        <f t="shared" si="3"/>
        <v>-1.61193818798833E-2</v>
      </c>
    </row>
    <row r="207" spans="2:4" x14ac:dyDescent="0.35">
      <c r="B207" s="3">
        <v>45985</v>
      </c>
      <c r="C207" s="4">
        <v>407.45001220703102</v>
      </c>
      <c r="D207">
        <f t="shared" si="3"/>
        <v>1.8453708617826647E-2</v>
      </c>
    </row>
    <row r="208" spans="2:4" x14ac:dyDescent="0.35">
      <c r="B208" s="3">
        <v>45986</v>
      </c>
      <c r="C208" s="4">
        <v>414.20001220703102</v>
      </c>
      <c r="D208">
        <f t="shared" si="3"/>
        <v>1.6430722707019358E-2</v>
      </c>
    </row>
    <row r="209" spans="2:4" x14ac:dyDescent="0.35">
      <c r="B209" s="3">
        <v>45987</v>
      </c>
      <c r="C209" s="4">
        <v>411.5</v>
      </c>
      <c r="D209">
        <f t="shared" si="3"/>
        <v>-6.5399583157036544E-3</v>
      </c>
    </row>
    <row r="210" spans="2:4" x14ac:dyDescent="0.35">
      <c r="B210" s="3">
        <v>45989</v>
      </c>
      <c r="C210" s="4">
        <v>413</v>
      </c>
      <c r="D210">
        <f t="shared" si="3"/>
        <v>3.6385728439083109E-3</v>
      </c>
    </row>
    <row r="211" spans="2:4" x14ac:dyDescent="0.35">
      <c r="B211" s="3">
        <v>45992</v>
      </c>
      <c r="C211" s="4">
        <v>411.5</v>
      </c>
      <c r="D211">
        <f t="shared" si="3"/>
        <v>-3.6385728439082914E-3</v>
      </c>
    </row>
    <row r="212" spans="2:4" x14ac:dyDescent="0.35">
      <c r="B212" s="3">
        <v>45993</v>
      </c>
      <c r="C212" s="4">
        <v>405.54998779296801</v>
      </c>
      <c r="D212">
        <f t="shared" si="3"/>
        <v>-1.456487970071452E-2</v>
      </c>
    </row>
    <row r="213" spans="2:4" x14ac:dyDescent="0.35">
      <c r="B213" s="3">
        <v>45994</v>
      </c>
      <c r="C213" s="4">
        <v>403.75</v>
      </c>
      <c r="D213">
        <f t="shared" si="3"/>
        <v>-4.448265879543758E-3</v>
      </c>
    </row>
    <row r="214" spans="2:4" x14ac:dyDescent="0.35">
      <c r="B214" s="3">
        <v>45995</v>
      </c>
      <c r="C214" s="4">
        <v>411.95001220703102</v>
      </c>
      <c r="D214">
        <f t="shared" si="3"/>
        <v>2.0106137857044598E-2</v>
      </c>
    </row>
    <row r="215" spans="2:4" x14ac:dyDescent="0.35">
      <c r="B215" s="3">
        <v>45996</v>
      </c>
      <c r="C215" s="4">
        <v>406.25</v>
      </c>
      <c r="D215">
        <f t="shared" si="3"/>
        <v>-1.3933278749963522E-2</v>
      </c>
    </row>
    <row r="216" spans="2:4" x14ac:dyDescent="0.35">
      <c r="B216" s="3">
        <v>45999</v>
      </c>
      <c r="C216" s="4">
        <v>396.04998779296801</v>
      </c>
      <c r="D216">
        <f t="shared" si="3"/>
        <v>-2.5428298555605758E-2</v>
      </c>
    </row>
    <row r="217" spans="2:4" x14ac:dyDescent="0.35">
      <c r="B217" s="3">
        <v>46000</v>
      </c>
      <c r="C217" s="4">
        <v>394.20001220703102</v>
      </c>
      <c r="D217">
        <f t="shared" si="3"/>
        <v>-4.682009403129018E-3</v>
      </c>
    </row>
    <row r="218" spans="2:4" x14ac:dyDescent="0.35">
      <c r="B218" s="3">
        <v>46001</v>
      </c>
      <c r="C218" s="4">
        <v>400.79998779296801</v>
      </c>
      <c r="D218">
        <f t="shared" si="3"/>
        <v>1.6604093628775358E-2</v>
      </c>
    </row>
    <row r="219" spans="2:4" x14ac:dyDescent="0.35">
      <c r="B219" s="3">
        <v>46002</v>
      </c>
      <c r="C219" s="4">
        <v>405.45001220703102</v>
      </c>
      <c r="D219">
        <f t="shared" si="3"/>
        <v>1.1535072183942558E-2</v>
      </c>
    </row>
    <row r="220" spans="2:4" x14ac:dyDescent="0.35">
      <c r="B220" s="3">
        <v>46003</v>
      </c>
      <c r="C220" s="4">
        <v>397.20001220703102</v>
      </c>
      <c r="D220">
        <f t="shared" si="3"/>
        <v>-2.0557628594207046E-2</v>
      </c>
    </row>
    <row r="221" spans="2:4" x14ac:dyDescent="0.35">
      <c r="B221" s="3">
        <v>46006</v>
      </c>
      <c r="C221" s="4">
        <v>387.70001220703102</v>
      </c>
      <c r="D221">
        <f t="shared" si="3"/>
        <v>-2.420808674107575E-2</v>
      </c>
    </row>
    <row r="222" spans="2:4" x14ac:dyDescent="0.35">
      <c r="B222" s="3">
        <v>46007</v>
      </c>
      <c r="C222" s="4">
        <v>379.29998779296801</v>
      </c>
      <c r="D222">
        <f t="shared" si="3"/>
        <v>-2.190445965084804E-2</v>
      </c>
    </row>
    <row r="223" spans="2:4" x14ac:dyDescent="0.35">
      <c r="B223" s="3">
        <v>46008</v>
      </c>
      <c r="C223" s="4">
        <v>351.89999389648398</v>
      </c>
      <c r="D223">
        <f t="shared" si="3"/>
        <v>-7.4980389528722047E-2</v>
      </c>
    </row>
    <row r="224" spans="2:4" x14ac:dyDescent="0.35">
      <c r="B224" s="3">
        <v>46009</v>
      </c>
      <c r="C224" s="4">
        <v>345.45001220703102</v>
      </c>
      <c r="D224">
        <f t="shared" si="3"/>
        <v>-1.8499076711667076E-2</v>
      </c>
    </row>
    <row r="225" spans="2:4" x14ac:dyDescent="0.35">
      <c r="B225" s="3">
        <v>46010</v>
      </c>
      <c r="C225" s="4">
        <v>340.64999389648398</v>
      </c>
      <c r="D225">
        <f t="shared" si="3"/>
        <v>-1.3992410968997736E-2</v>
      </c>
    </row>
    <row r="226" spans="2:4" x14ac:dyDescent="0.35">
      <c r="B226" s="3">
        <v>46013</v>
      </c>
      <c r="C226" s="4">
        <v>347.350006103515</v>
      </c>
      <c r="D226">
        <f t="shared" si="3"/>
        <v>1.9477395408133681E-2</v>
      </c>
    </row>
    <row r="227" spans="2:4" x14ac:dyDescent="0.35">
      <c r="B227" s="3">
        <v>46014</v>
      </c>
      <c r="C227" s="4">
        <v>346.95001220703102</v>
      </c>
      <c r="D227">
        <f t="shared" si="3"/>
        <v>-1.1522221811558645E-3</v>
      </c>
    </row>
    <row r="228" spans="2:4" x14ac:dyDescent="0.35">
      <c r="B228" s="3">
        <v>46015</v>
      </c>
      <c r="C228" s="4">
        <v>345.14999389648398</v>
      </c>
      <c r="D228">
        <f t="shared" si="3"/>
        <v>-5.2016250635685901E-3</v>
      </c>
    </row>
    <row r="229" spans="2:4" x14ac:dyDescent="0.35">
      <c r="B229" s="3">
        <v>46017</v>
      </c>
      <c r="C229" s="4">
        <v>350.25</v>
      </c>
      <c r="D229">
        <f t="shared" si="3"/>
        <v>1.4668097751294301E-2</v>
      </c>
    </row>
    <row r="230" spans="2:4" x14ac:dyDescent="0.35">
      <c r="B230" s="3">
        <v>46020</v>
      </c>
      <c r="C230" s="4">
        <v>352.14999389648398</v>
      </c>
      <c r="D230">
        <f t="shared" si="3"/>
        <v>5.4100186421545925E-3</v>
      </c>
    </row>
    <row r="231" spans="2:4" x14ac:dyDescent="0.35">
      <c r="B231" s="3">
        <v>46021</v>
      </c>
      <c r="C231" s="4">
        <v>350.20001220703102</v>
      </c>
      <c r="D231">
        <f t="shared" si="3"/>
        <v>-5.5527491502069528E-3</v>
      </c>
    </row>
    <row r="232" spans="2:4" x14ac:dyDescent="0.35">
      <c r="B232" s="3">
        <v>46022</v>
      </c>
      <c r="C232" s="4">
        <v>348.75</v>
      </c>
      <c r="D232">
        <f t="shared" si="3"/>
        <v>-4.1491215734884698E-3</v>
      </c>
    </row>
    <row r="233" spans="2:4" x14ac:dyDescent="0.35">
      <c r="B233" s="3">
        <v>46024</v>
      </c>
      <c r="C233" s="4">
        <v>357.29998779296801</v>
      </c>
      <c r="D233">
        <f t="shared" si="3"/>
        <v>2.4220397729130979E-2</v>
      </c>
    </row>
    <row r="234" spans="2:4" x14ac:dyDescent="0.35">
      <c r="B234" s="3">
        <v>46027</v>
      </c>
      <c r="C234" s="4">
        <v>359.350006103515</v>
      </c>
      <c r="D234">
        <f t="shared" si="3"/>
        <v>5.7211300346204615E-3</v>
      </c>
    </row>
    <row r="235" spans="2:4" x14ac:dyDescent="0.35">
      <c r="B235" s="3">
        <v>46028</v>
      </c>
      <c r="C235" s="4">
        <v>373.850006103515</v>
      </c>
      <c r="D235">
        <f t="shared" si="3"/>
        <v>3.9557802872704266E-2</v>
      </c>
    </row>
    <row r="236" spans="2:4" x14ac:dyDescent="0.35">
      <c r="B236" s="3">
        <v>46029</v>
      </c>
      <c r="C236" s="4">
        <v>375.45001220703102</v>
      </c>
      <c r="D236">
        <f t="shared" si="3"/>
        <v>4.2706752869283438E-3</v>
      </c>
    </row>
    <row r="237" spans="2:4" x14ac:dyDescent="0.35">
      <c r="B237" s="3">
        <v>46030</v>
      </c>
      <c r="C237" s="4">
        <v>372.350006103515</v>
      </c>
      <c r="D237">
        <f t="shared" si="3"/>
        <v>-8.2910505104291047E-3</v>
      </c>
    </row>
    <row r="238" spans="2:4" x14ac:dyDescent="0.35">
      <c r="B238" s="3">
        <v>46031</v>
      </c>
      <c r="C238" s="4">
        <v>357.64999389648398</v>
      </c>
      <c r="D238">
        <f t="shared" si="3"/>
        <v>-4.0279451059749359E-2</v>
      </c>
    </row>
    <row r="239" spans="2:4" x14ac:dyDescent="0.35">
      <c r="B239" s="3">
        <v>46034</v>
      </c>
      <c r="C239" s="4">
        <v>356.04998779296801</v>
      </c>
      <c r="D239">
        <f t="shared" si="3"/>
        <v>-4.4837013452482359E-3</v>
      </c>
    </row>
    <row r="240" spans="2:4" x14ac:dyDescent="0.35">
      <c r="B240" s="3">
        <v>46035</v>
      </c>
      <c r="C240" s="4">
        <v>360.25</v>
      </c>
      <c r="D240">
        <f t="shared" si="3"/>
        <v>1.1727098736098703E-2</v>
      </c>
    </row>
    <row r="241" spans="2:4" x14ac:dyDescent="0.35">
      <c r="B241" s="3">
        <v>46036</v>
      </c>
      <c r="C241" s="4">
        <v>356</v>
      </c>
      <c r="D241">
        <f t="shared" si="3"/>
        <v>-1.1867504027600981E-2</v>
      </c>
    </row>
    <row r="242" spans="2:4" x14ac:dyDescent="0.35">
      <c r="B242" s="3">
        <v>46037</v>
      </c>
      <c r="C242" s="4">
        <v>358.100006103515</v>
      </c>
      <c r="D242">
        <f t="shared" si="3"/>
        <v>5.8815631965200973E-3</v>
      </c>
    </row>
    <row r="243" spans="2:4" x14ac:dyDescent="0.35">
      <c r="B243" s="3">
        <v>46038</v>
      </c>
      <c r="C243" s="4">
        <v>355.29998779296801</v>
      </c>
      <c r="D243">
        <f t="shared" si="3"/>
        <v>-7.8498253785412898E-3</v>
      </c>
    </row>
    <row r="244" spans="2:4" x14ac:dyDescent="0.35">
      <c r="B244" s="3">
        <v>46042</v>
      </c>
      <c r="C244" s="4">
        <v>346.5</v>
      </c>
      <c r="D244">
        <f t="shared" si="3"/>
        <v>-2.5079650040051374E-2</v>
      </c>
    </row>
    <row r="245" spans="2:4" x14ac:dyDescent="0.35">
      <c r="B245" s="3">
        <v>46043</v>
      </c>
      <c r="C245" s="4">
        <v>347.5</v>
      </c>
      <c r="D245">
        <f t="shared" si="3"/>
        <v>2.8818463748889502E-3</v>
      </c>
    </row>
    <row r="246" spans="2:4" x14ac:dyDescent="0.35">
      <c r="B246" s="3">
        <v>46044</v>
      </c>
      <c r="C246" s="4">
        <v>347.70001220703102</v>
      </c>
      <c r="D246">
        <f t="shared" si="3"/>
        <v>5.7540911690910949E-4</v>
      </c>
    </row>
    <row r="247" spans="2:4" x14ac:dyDescent="0.35">
      <c r="B247" s="3">
        <v>46045</v>
      </c>
      <c r="C247" s="4">
        <v>350.89999389648398</v>
      </c>
      <c r="D247">
        <f t="shared" si="3"/>
        <v>9.1611910735233514E-3</v>
      </c>
    </row>
    <row r="248" spans="2:4" x14ac:dyDescent="0.35">
      <c r="B248" s="3">
        <v>46048</v>
      </c>
      <c r="C248" s="4">
        <v>356.25</v>
      </c>
      <c r="D248">
        <f t="shared" si="3"/>
        <v>1.5131466387580993E-2</v>
      </c>
    </row>
    <row r="249" spans="2:4" x14ac:dyDescent="0.35">
      <c r="B249" s="3">
        <v>46049</v>
      </c>
      <c r="C249" s="4">
        <v>367.25</v>
      </c>
      <c r="D249">
        <f t="shared" si="3"/>
        <v>3.0410083471126326E-2</v>
      </c>
    </row>
    <row r="250" spans="2:4" x14ac:dyDescent="0.35">
      <c r="B250" s="3">
        <v>46050</v>
      </c>
      <c r="C250" s="4">
        <v>351</v>
      </c>
      <c r="D250">
        <f t="shared" si="3"/>
        <v>-4.5256591588120829E-2</v>
      </c>
    </row>
    <row r="251" spans="2:4" x14ac:dyDescent="0.35">
      <c r="B251" s="3">
        <v>46051</v>
      </c>
      <c r="C251" s="4">
        <v>345.5</v>
      </c>
      <c r="D251">
        <f t="shared" si="3"/>
        <v>-1.5793580258141243E-2</v>
      </c>
    </row>
    <row r="252" spans="2:4" x14ac:dyDescent="0.35">
      <c r="B252" s="3">
        <v>46052</v>
      </c>
      <c r="C252" s="4">
        <v>332.25</v>
      </c>
      <c r="D252">
        <f t="shared" si="3"/>
        <v>-3.9104945614369828E-2</v>
      </c>
    </row>
    <row r="253" spans="2:4" x14ac:dyDescent="0.35">
      <c r="B253" s="3">
        <v>46055</v>
      </c>
      <c r="C253" s="4">
        <v>333.25</v>
      </c>
      <c r="D253">
        <f t="shared" si="3"/>
        <v>3.0052614654632955E-3</v>
      </c>
    </row>
    <row r="254" spans="2:4" x14ac:dyDescent="0.35">
      <c r="B254" s="3">
        <v>46056</v>
      </c>
      <c r="C254" s="4">
        <v>317.100006103515</v>
      </c>
      <c r="D254">
        <f t="shared" si="3"/>
        <v>-4.9675758266598015E-2</v>
      </c>
    </row>
    <row r="255" spans="2:4" x14ac:dyDescent="0.35">
      <c r="B255" s="3">
        <v>46057</v>
      </c>
      <c r="C255" s="4">
        <v>308.64999389648398</v>
      </c>
      <c r="D255">
        <f t="shared" si="3"/>
        <v>-2.7009271727193106E-2</v>
      </c>
    </row>
    <row r="256" spans="2:4" x14ac:dyDescent="0.35">
      <c r="B256" s="3">
        <v>46058</v>
      </c>
      <c r="C256" s="4">
        <v>308.39999389648398</v>
      </c>
      <c r="D256">
        <f t="shared" si="3"/>
        <v>-8.1030716676066888E-4</v>
      </c>
    </row>
    <row r="257" spans="2:4" x14ac:dyDescent="0.35">
      <c r="B257" s="3">
        <v>46059</v>
      </c>
      <c r="C257" s="4">
        <v>286.70001220703102</v>
      </c>
      <c r="D257">
        <f t="shared" si="3"/>
        <v>-7.2961206431227485E-2</v>
      </c>
    </row>
  </sheetData>
  <mergeCells count="5">
    <mergeCell ref="F4:G4"/>
    <mergeCell ref="I4:J4"/>
    <mergeCell ref="F21:J27"/>
    <mergeCell ref="F17:J19"/>
    <mergeCell ref="B1:J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6C95-A664-4647-AEBF-3D08BBB6D411}">
  <dimension ref="B1:AZ257"/>
  <sheetViews>
    <sheetView showGridLines="0" workbookViewId="0">
      <selection activeCell="J19" sqref="J19"/>
    </sheetView>
  </sheetViews>
  <sheetFormatPr defaultRowHeight="14.5" x14ac:dyDescent="0.35"/>
  <cols>
    <col min="1" max="1" width="1.7265625" customWidth="1"/>
    <col min="2" max="2" width="10.08984375" bestFit="1" customWidth="1"/>
    <col min="3" max="3" width="9.453125" customWidth="1"/>
    <col min="4" max="4" width="12.453125" bestFit="1" customWidth="1"/>
    <col min="5" max="5" width="1.7265625" customWidth="1"/>
    <col min="6" max="6" width="17.54296875" bestFit="1" customWidth="1"/>
    <col min="7" max="7" width="9.36328125" customWidth="1"/>
    <col min="8" max="8" width="1.7265625" customWidth="1"/>
    <col min="9" max="9" width="22.26953125" bestFit="1" customWidth="1"/>
    <col min="10" max="10" width="11.81640625" bestFit="1" customWidth="1"/>
    <col min="11" max="11" width="1.7265625" customWidth="1"/>
    <col min="12" max="12" width="15.1796875" bestFit="1" customWidth="1"/>
    <col min="13" max="21" width="9.36328125" bestFit="1" customWidth="1"/>
    <col min="22" max="52" width="10.36328125" bestFit="1" customWidth="1"/>
  </cols>
  <sheetData>
    <row r="1" spans="2:52" x14ac:dyDescent="0.35">
      <c r="B1" s="53" t="s">
        <v>231</v>
      </c>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row>
    <row r="2" spans="2:52" x14ac:dyDescent="0.35">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row>
    <row r="4" spans="2:52" x14ac:dyDescent="0.35">
      <c r="B4" s="8" t="s">
        <v>3</v>
      </c>
      <c r="C4" s="8" t="s">
        <v>4</v>
      </c>
      <c r="D4" s="8" t="s">
        <v>16</v>
      </c>
      <c r="F4" s="56" t="s">
        <v>5</v>
      </c>
      <c r="G4" s="56"/>
      <c r="I4" s="56" t="s">
        <v>13</v>
      </c>
      <c r="J4" s="56"/>
      <c r="K4" s="15"/>
      <c r="L4" s="8"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row>
    <row r="5" spans="2:52" ht="16.5" x14ac:dyDescent="0.45">
      <c r="B5" s="3">
        <v>45694</v>
      </c>
      <c r="C5" s="4">
        <v>403.95001220703102</v>
      </c>
      <c r="F5" t="s">
        <v>56</v>
      </c>
      <c r="G5" s="1">
        <v>2.94</v>
      </c>
      <c r="I5" t="s">
        <v>7</v>
      </c>
      <c r="J5">
        <f>_xlfn.STDEV.S(D6:D257)</f>
        <v>2.4756005043107602E-2</v>
      </c>
      <c r="L5" t="s">
        <v>100</v>
      </c>
      <c r="M5">
        <v>2.94</v>
      </c>
      <c r="N5">
        <v>2.94</v>
      </c>
      <c r="O5">
        <v>2.94</v>
      </c>
      <c r="P5">
        <v>2.94</v>
      </c>
      <c r="Q5">
        <v>2.94</v>
      </c>
      <c r="R5">
        <v>2.94</v>
      </c>
      <c r="S5">
        <v>2.94</v>
      </c>
      <c r="T5">
        <v>2.94</v>
      </c>
      <c r="U5">
        <v>2.94</v>
      </c>
      <c r="V5">
        <v>2.94</v>
      </c>
      <c r="W5">
        <v>2.94</v>
      </c>
      <c r="X5">
        <v>2.94</v>
      </c>
      <c r="Y5">
        <v>2.94</v>
      </c>
      <c r="Z5">
        <v>2.94</v>
      </c>
      <c r="AA5">
        <v>2.94</v>
      </c>
      <c r="AB5">
        <v>2.94</v>
      </c>
      <c r="AC5">
        <v>2.94</v>
      </c>
      <c r="AD5">
        <v>2.94</v>
      </c>
      <c r="AE5">
        <v>2.94</v>
      </c>
      <c r="AF5">
        <v>2.94</v>
      </c>
      <c r="AG5">
        <v>2.94</v>
      </c>
      <c r="AH5">
        <v>2.94</v>
      </c>
      <c r="AI5">
        <v>2.94</v>
      </c>
      <c r="AJ5">
        <v>2.94</v>
      </c>
      <c r="AK5">
        <v>2.94</v>
      </c>
      <c r="AL5">
        <v>2.94</v>
      </c>
      <c r="AM5">
        <v>2.94</v>
      </c>
      <c r="AN5">
        <v>2.94</v>
      </c>
      <c r="AO5">
        <v>2.94</v>
      </c>
      <c r="AP5">
        <v>2.94</v>
      </c>
      <c r="AQ5">
        <v>2.94</v>
      </c>
      <c r="AR5">
        <v>2.94</v>
      </c>
      <c r="AS5">
        <v>2.94</v>
      </c>
      <c r="AT5">
        <v>2.94</v>
      </c>
      <c r="AU5">
        <v>2.94</v>
      </c>
      <c r="AV5">
        <v>2.94</v>
      </c>
      <c r="AW5">
        <v>2.94</v>
      </c>
      <c r="AX5">
        <v>2.94</v>
      </c>
      <c r="AY5">
        <v>2.94</v>
      </c>
      <c r="AZ5">
        <v>2.94</v>
      </c>
    </row>
    <row r="6" spans="2:52" x14ac:dyDescent="0.35">
      <c r="B6" s="3">
        <v>45695</v>
      </c>
      <c r="C6" s="4">
        <v>404.350006103515</v>
      </c>
      <c r="D6">
        <f t="shared" ref="D6:D69" si="0">LN(C6/C5)</f>
        <v>9.8971649158396805E-4</v>
      </c>
      <c r="F6" t="s">
        <v>0</v>
      </c>
      <c r="G6">
        <v>3.5799999999999998E-2</v>
      </c>
      <c r="I6" t="s">
        <v>8</v>
      </c>
      <c r="J6">
        <f>J5*SQRT(252)</f>
        <v>0.39298939679714134</v>
      </c>
      <c r="L6" t="s">
        <v>101</v>
      </c>
      <c r="M6">
        <f ca="1">M5*EXP(($G$6-0.5*$J$6^2)*$G$7+($J$6*SQRT($G$7)*_xlfn.NORM.S.INV(RAND())))</f>
        <v>2.9231766914744495</v>
      </c>
      <c r="N6">
        <f t="shared" ref="N6:AZ6" ca="1" si="1">N5*EXP(($G$6-0.5*$J$6^2)*$G$7+($J$6*SQRT($G$7)*_xlfn.NORM.S.INV(RAND())))</f>
        <v>3.0272209163588157</v>
      </c>
      <c r="O6">
        <f t="shared" ca="1" si="1"/>
        <v>2.9470201777393088</v>
      </c>
      <c r="P6">
        <f t="shared" ca="1" si="1"/>
        <v>2.9859691060049269</v>
      </c>
      <c r="Q6">
        <f t="shared" ca="1" si="1"/>
        <v>2.9455478251766563</v>
      </c>
      <c r="R6">
        <f t="shared" ca="1" si="1"/>
        <v>2.9875554946065659</v>
      </c>
      <c r="S6">
        <f t="shared" ca="1" si="1"/>
        <v>3.0103411761076098</v>
      </c>
      <c r="T6">
        <f t="shared" ca="1" si="1"/>
        <v>2.9494141569192487</v>
      </c>
      <c r="U6">
        <f t="shared" ca="1" si="1"/>
        <v>2.9524495775862851</v>
      </c>
      <c r="V6">
        <f t="shared" ca="1" si="1"/>
        <v>2.9239999015711988</v>
      </c>
      <c r="W6">
        <f t="shared" ca="1" si="1"/>
        <v>2.9571047630586147</v>
      </c>
      <c r="X6">
        <f t="shared" ca="1" si="1"/>
        <v>2.9898423333273931</v>
      </c>
      <c r="Y6">
        <f t="shared" ca="1" si="1"/>
        <v>2.9401299816173361</v>
      </c>
      <c r="Z6">
        <f t="shared" ca="1" si="1"/>
        <v>3.0124830630856421</v>
      </c>
      <c r="AA6">
        <f t="shared" ca="1" si="1"/>
        <v>3.0506212807570212</v>
      </c>
      <c r="AB6">
        <f t="shared" ca="1" si="1"/>
        <v>3.1046203472742246</v>
      </c>
      <c r="AC6">
        <f t="shared" ca="1" si="1"/>
        <v>2.9906220997408406</v>
      </c>
      <c r="AD6">
        <f t="shared" ca="1" si="1"/>
        <v>2.9180547040785476</v>
      </c>
      <c r="AE6">
        <f t="shared" ca="1" si="1"/>
        <v>2.9384306284735184</v>
      </c>
      <c r="AF6">
        <f t="shared" ca="1" si="1"/>
        <v>2.8308307961197858</v>
      </c>
      <c r="AG6">
        <f t="shared" ca="1" si="1"/>
        <v>2.83218703675128</v>
      </c>
      <c r="AH6">
        <f t="shared" ca="1" si="1"/>
        <v>2.9288895491646438</v>
      </c>
      <c r="AI6">
        <f t="shared" ca="1" si="1"/>
        <v>2.9962679946571216</v>
      </c>
      <c r="AJ6">
        <f t="shared" ca="1" si="1"/>
        <v>2.8389994084096526</v>
      </c>
      <c r="AK6">
        <f t="shared" ca="1" si="1"/>
        <v>3.029149674201463</v>
      </c>
      <c r="AL6">
        <f t="shared" ca="1" si="1"/>
        <v>3.0737680333492312</v>
      </c>
      <c r="AM6">
        <f t="shared" ca="1" si="1"/>
        <v>2.8824502497611846</v>
      </c>
      <c r="AN6">
        <f t="shared" ca="1" si="1"/>
        <v>2.9329829584033931</v>
      </c>
      <c r="AO6">
        <f t="shared" ca="1" si="1"/>
        <v>2.9675230108243982</v>
      </c>
      <c r="AP6">
        <f t="shared" ca="1" si="1"/>
        <v>2.9450572295913187</v>
      </c>
      <c r="AQ6">
        <f t="shared" ca="1" si="1"/>
        <v>2.867783664744751</v>
      </c>
      <c r="AR6">
        <f t="shared" ca="1" si="1"/>
        <v>3.0662953457752122</v>
      </c>
      <c r="AS6">
        <f t="shared" ca="1" si="1"/>
        <v>2.7712988607867981</v>
      </c>
      <c r="AT6">
        <f t="shared" ca="1" si="1"/>
        <v>3.0066141958235204</v>
      </c>
      <c r="AU6">
        <f t="shared" ca="1" si="1"/>
        <v>2.8988065042115791</v>
      </c>
      <c r="AV6">
        <f t="shared" ca="1" si="1"/>
        <v>3.0571408443967751</v>
      </c>
      <c r="AW6">
        <f t="shared" ca="1" si="1"/>
        <v>3.0174857027150832</v>
      </c>
      <c r="AX6">
        <f t="shared" ca="1" si="1"/>
        <v>2.9143984404324108</v>
      </c>
      <c r="AY6">
        <f t="shared" ca="1" si="1"/>
        <v>2.9857049185312543</v>
      </c>
      <c r="AZ6">
        <f t="shared" ca="1" si="1"/>
        <v>2.9317663593447452</v>
      </c>
    </row>
    <row r="7" spans="2:52" ht="16.5" x14ac:dyDescent="0.45">
      <c r="B7" s="3">
        <v>45698</v>
      </c>
      <c r="C7" s="4">
        <v>429.04998779296801</v>
      </c>
      <c r="D7">
        <f t="shared" si="0"/>
        <v>5.9292579165361146E-2</v>
      </c>
      <c r="F7" s="14" t="s">
        <v>57</v>
      </c>
      <c r="G7" s="14">
        <f>1/252</f>
        <v>3.968253968253968E-3</v>
      </c>
      <c r="I7" s="14" t="s">
        <v>6</v>
      </c>
      <c r="J7" s="16">
        <v>2.95</v>
      </c>
      <c r="L7" t="s">
        <v>102</v>
      </c>
      <c r="M7">
        <f ca="1">M6*EXP(($G$6-0.5*$J$6^2)*$G$7+($J$6*SQRT($G$7)*_xlfn.NORM.S.INV(RAND())))</f>
        <v>2.9448267368800933</v>
      </c>
      <c r="N7">
        <f ca="1">N6*EXP(($G$6-0.5*$J$6^2)*$G$7+($J$6*SQRT($G$7)*_xlfn.NORM.S.INV(RAND())))</f>
        <v>3.0751421171874971</v>
      </c>
      <c r="O7">
        <f t="shared" ref="O7:O70" ca="1" si="2">O6*EXP(($G$6-0.5*$J$6^2)*$G$7+($J$6*SQRT($G$7)*_xlfn.NORM.S.INV(RAND())))</f>
        <v>2.9262051476595663</v>
      </c>
      <c r="P7">
        <f t="shared" ref="P7:P70" ca="1" si="3">P6*EXP(($G$6-0.5*$J$6^2)*$G$7+($J$6*SQRT($G$7)*_xlfn.NORM.S.INV(RAND())))</f>
        <v>2.9612038902230524</v>
      </c>
      <c r="Q7">
        <f t="shared" ref="Q7:Q70" ca="1" si="4">Q6*EXP(($G$6-0.5*$J$6^2)*$G$7+($J$6*SQRT($G$7)*_xlfn.NORM.S.INV(RAND())))</f>
        <v>2.9512718550687755</v>
      </c>
      <c r="R7">
        <f t="shared" ref="R7:R70" ca="1" si="5">R6*EXP(($G$6-0.5*$J$6^2)*$G$7+($J$6*SQRT($G$7)*_xlfn.NORM.S.INV(RAND())))</f>
        <v>2.9699208699187705</v>
      </c>
      <c r="S7">
        <f t="shared" ref="S7:S70" ca="1" si="6">S6*EXP(($G$6-0.5*$J$6^2)*$G$7+($J$6*SQRT($G$7)*_xlfn.NORM.S.INV(RAND())))</f>
        <v>2.9980364312136127</v>
      </c>
      <c r="T7">
        <f t="shared" ref="T7:T70" ca="1" si="7">T6*EXP(($G$6-0.5*$J$6^2)*$G$7+($J$6*SQRT($G$7)*_xlfn.NORM.S.INV(RAND())))</f>
        <v>3.1306639047672209</v>
      </c>
      <c r="U7">
        <f t="shared" ref="U7:U70" ca="1" si="8">U6*EXP(($G$6-0.5*$J$6^2)*$G$7+($J$6*SQRT($G$7)*_xlfn.NORM.S.INV(RAND())))</f>
        <v>2.919595608891763</v>
      </c>
      <c r="V7">
        <f t="shared" ref="V7:V70" ca="1" si="9">V6*EXP(($G$6-0.5*$J$6^2)*$G$7+($J$6*SQRT($G$7)*_xlfn.NORM.S.INV(RAND())))</f>
        <v>2.8109161563051903</v>
      </c>
      <c r="W7">
        <f t="shared" ref="W7:W70" ca="1" si="10">W6*EXP(($G$6-0.5*$J$6^2)*$G$7+($J$6*SQRT($G$7)*_xlfn.NORM.S.INV(RAND())))</f>
        <v>2.8886623123945325</v>
      </c>
      <c r="X7">
        <f t="shared" ref="X7:X70" ca="1" si="11">X6*EXP(($G$6-0.5*$J$6^2)*$G$7+($J$6*SQRT($G$7)*_xlfn.NORM.S.INV(RAND())))</f>
        <v>2.8405008503577953</v>
      </c>
      <c r="Y7">
        <f t="shared" ref="Y7:Y70" ca="1" si="12">Y6*EXP(($G$6-0.5*$J$6^2)*$G$7+($J$6*SQRT($G$7)*_xlfn.NORM.S.INV(RAND())))</f>
        <v>2.8969228454919738</v>
      </c>
      <c r="Z7">
        <f t="shared" ref="Z7:Z70" ca="1" si="13">Z6*EXP(($G$6-0.5*$J$6^2)*$G$7+($J$6*SQRT($G$7)*_xlfn.NORM.S.INV(RAND())))</f>
        <v>2.9648476678976032</v>
      </c>
      <c r="AA7">
        <f t="shared" ref="AA7:AA70" ca="1" si="14">AA6*EXP(($G$6-0.5*$J$6^2)*$G$7+($J$6*SQRT($G$7)*_xlfn.NORM.S.INV(RAND())))</f>
        <v>3.0180058381384116</v>
      </c>
      <c r="AB7">
        <f t="shared" ref="AB7:AB70" ca="1" si="15">AB6*EXP(($G$6-0.5*$J$6^2)*$G$7+($J$6*SQRT($G$7)*_xlfn.NORM.S.INV(RAND())))</f>
        <v>3.0862101392040211</v>
      </c>
      <c r="AC7">
        <f t="shared" ref="AC7:AC70" ca="1" si="16">AC6*EXP(($G$6-0.5*$J$6^2)*$G$7+($J$6*SQRT($G$7)*_xlfn.NORM.S.INV(RAND())))</f>
        <v>2.8421635322280405</v>
      </c>
      <c r="AD7">
        <f t="shared" ref="AD7:AD70" ca="1" si="17">AD6*EXP(($G$6-0.5*$J$6^2)*$G$7+($J$6*SQRT($G$7)*_xlfn.NORM.S.INV(RAND())))</f>
        <v>2.8546484456035244</v>
      </c>
      <c r="AE7">
        <f t="shared" ref="AE7:AE70" ca="1" si="18">AE6*EXP(($G$6-0.5*$J$6^2)*$G$7+($J$6*SQRT($G$7)*_xlfn.NORM.S.INV(RAND())))</f>
        <v>2.8812795015884456</v>
      </c>
      <c r="AF7">
        <f t="shared" ref="AF7:AF70" ca="1" si="19">AF6*EXP(($G$6-0.5*$J$6^2)*$G$7+($J$6*SQRT($G$7)*_xlfn.NORM.S.INV(RAND())))</f>
        <v>2.887989525327046</v>
      </c>
      <c r="AG7">
        <f t="shared" ref="AG7:AG70" ca="1" si="20">AG6*EXP(($G$6-0.5*$J$6^2)*$G$7+($J$6*SQRT($G$7)*_xlfn.NORM.S.INV(RAND())))</f>
        <v>2.858244936049497</v>
      </c>
      <c r="AH7">
        <f t="shared" ref="AH7:AH70" ca="1" si="21">AH6*EXP(($G$6-0.5*$J$6^2)*$G$7+($J$6*SQRT($G$7)*_xlfn.NORM.S.INV(RAND())))</f>
        <v>2.8551817794915566</v>
      </c>
      <c r="AI7">
        <f t="shared" ref="AI7:AI70" ca="1" si="22">AI6*EXP(($G$6-0.5*$J$6^2)*$G$7+($J$6*SQRT($G$7)*_xlfn.NORM.S.INV(RAND())))</f>
        <v>3.0863027468602429</v>
      </c>
      <c r="AJ7">
        <f t="shared" ref="AJ7:AJ70" ca="1" si="23">AJ6*EXP(($G$6-0.5*$J$6^2)*$G$7+($J$6*SQRT($G$7)*_xlfn.NORM.S.INV(RAND())))</f>
        <v>2.7753695347804825</v>
      </c>
      <c r="AK7">
        <f t="shared" ref="AK7:AK70" ca="1" si="24">AK6*EXP(($G$6-0.5*$J$6^2)*$G$7+($J$6*SQRT($G$7)*_xlfn.NORM.S.INV(RAND())))</f>
        <v>3.0841441830974183</v>
      </c>
      <c r="AL7">
        <f t="shared" ref="AL7:AL70" ca="1" si="25">AL6*EXP(($G$6-0.5*$J$6^2)*$G$7+($J$6*SQRT($G$7)*_xlfn.NORM.S.INV(RAND())))</f>
        <v>3.1135065368646933</v>
      </c>
      <c r="AM7">
        <f t="shared" ref="AM7:AM70" ca="1" si="26">AM6*EXP(($G$6-0.5*$J$6^2)*$G$7+($J$6*SQRT($G$7)*_xlfn.NORM.S.INV(RAND())))</f>
        <v>2.8307332948561847</v>
      </c>
      <c r="AN7">
        <f t="shared" ref="AN7:AN70" ca="1" si="27">AN6*EXP(($G$6-0.5*$J$6^2)*$G$7+($J$6*SQRT($G$7)*_xlfn.NORM.S.INV(RAND())))</f>
        <v>2.9602508942068053</v>
      </c>
      <c r="AO7">
        <f t="shared" ref="AO7:AO70" ca="1" si="28">AO6*EXP(($G$6-0.5*$J$6^2)*$G$7+($J$6*SQRT($G$7)*_xlfn.NORM.S.INV(RAND())))</f>
        <v>2.9852329726345861</v>
      </c>
      <c r="AP7">
        <f t="shared" ref="AP7:AP70" ca="1" si="29">AP6*EXP(($G$6-0.5*$J$6^2)*$G$7+($J$6*SQRT($G$7)*_xlfn.NORM.S.INV(RAND())))</f>
        <v>2.9015950787233482</v>
      </c>
      <c r="AQ7">
        <f t="shared" ref="AQ7:AQ70" ca="1" si="30">AQ6*EXP(($G$6-0.5*$J$6^2)*$G$7+($J$6*SQRT($G$7)*_xlfn.NORM.S.INV(RAND())))</f>
        <v>2.8697375374644851</v>
      </c>
      <c r="AR7">
        <f t="shared" ref="AR7:AR70" ca="1" si="31">AR6*EXP(($G$6-0.5*$J$6^2)*$G$7+($J$6*SQRT($G$7)*_xlfn.NORM.S.INV(RAND())))</f>
        <v>3.0442775217771487</v>
      </c>
      <c r="AS7">
        <f t="shared" ref="AS7:AS70" ca="1" si="32">AS6*EXP(($G$6-0.5*$J$6^2)*$G$7+($J$6*SQRT($G$7)*_xlfn.NORM.S.INV(RAND())))</f>
        <v>2.6520163636393468</v>
      </c>
      <c r="AT7">
        <f t="shared" ref="AT7:AT70" ca="1" si="33">AT6*EXP(($G$6-0.5*$J$6^2)*$G$7+($J$6*SQRT($G$7)*_xlfn.NORM.S.INV(RAND())))</f>
        <v>2.9780591639966572</v>
      </c>
      <c r="AU7">
        <f t="shared" ref="AU7:AU70" ca="1" si="34">AU6*EXP(($G$6-0.5*$J$6^2)*$G$7+($J$6*SQRT($G$7)*_xlfn.NORM.S.INV(RAND())))</f>
        <v>3.0315905069084916</v>
      </c>
      <c r="AV7">
        <f t="shared" ref="AV7:AV70" ca="1" si="35">AV6*EXP(($G$6-0.5*$J$6^2)*$G$7+($J$6*SQRT($G$7)*_xlfn.NORM.S.INV(RAND())))</f>
        <v>3.0483610487329407</v>
      </c>
      <c r="AW7">
        <f t="shared" ref="AW7:AW70" ca="1" si="36">AW6*EXP(($G$6-0.5*$J$6^2)*$G$7+($J$6*SQRT($G$7)*_xlfn.NORM.S.INV(RAND())))</f>
        <v>2.9940042635314801</v>
      </c>
      <c r="AX7">
        <f t="shared" ref="AX7:AX70" ca="1" si="37">AX6*EXP(($G$6-0.5*$J$6^2)*$G$7+($J$6*SQRT($G$7)*_xlfn.NORM.S.INV(RAND())))</f>
        <v>3.0136840229881794</v>
      </c>
      <c r="AY7">
        <f t="shared" ref="AY7:AY70" ca="1" si="38">AY6*EXP(($G$6-0.5*$J$6^2)*$G$7+($J$6*SQRT($G$7)*_xlfn.NORM.S.INV(RAND())))</f>
        <v>2.903623731496829</v>
      </c>
      <c r="AZ7">
        <f t="shared" ref="AZ7:AZ70" ca="1" si="39">AZ6*EXP(($G$6-0.5*$J$6^2)*$G$7+($J$6*SQRT($G$7)*_xlfn.NORM.S.INV(RAND())))</f>
        <v>2.8954589224894001</v>
      </c>
    </row>
    <row r="8" spans="2:52" x14ac:dyDescent="0.35">
      <c r="B8" s="3">
        <v>45699</v>
      </c>
      <c r="C8" s="4">
        <v>413.45001220703102</v>
      </c>
      <c r="D8">
        <f t="shared" si="0"/>
        <v>-3.703681610884426E-2</v>
      </c>
      <c r="K8" s="1"/>
      <c r="L8" t="s">
        <v>103</v>
      </c>
      <c r="M8">
        <f t="shared" ref="M8:M71" ca="1" si="40">M7*EXP(($G$6-0.5*$J$6^2)*$G$7+($J$6*SQRT($G$7)*_xlfn.NORM.S.INV(RAND())))</f>
        <v>2.8345066533470509</v>
      </c>
      <c r="N8">
        <f t="shared" ref="N8:N71" ca="1" si="41">N7*EXP(($G$6-0.5*$J$6^2)*$G$7+($J$6*SQRT($G$7)*_xlfn.NORM.S.INV(RAND())))</f>
        <v>3.0207281152651881</v>
      </c>
      <c r="O8">
        <f t="shared" ca="1" si="2"/>
        <v>2.8838256667324957</v>
      </c>
      <c r="P8">
        <f t="shared" ca="1" si="3"/>
        <v>2.9542041082815991</v>
      </c>
      <c r="Q8">
        <f t="shared" ca="1" si="4"/>
        <v>2.8437528156510301</v>
      </c>
      <c r="R8">
        <f t="shared" ca="1" si="5"/>
        <v>3.103724318942036</v>
      </c>
      <c r="S8">
        <f t="shared" ca="1" si="6"/>
        <v>3.009151517964459</v>
      </c>
      <c r="T8">
        <f t="shared" ca="1" si="7"/>
        <v>3.2447232879938497</v>
      </c>
      <c r="U8">
        <f t="shared" ca="1" si="8"/>
        <v>3.0293245974931877</v>
      </c>
      <c r="V8">
        <f t="shared" ca="1" si="9"/>
        <v>2.9191675589656279</v>
      </c>
      <c r="W8">
        <f t="shared" ca="1" si="10"/>
        <v>2.8568025698226696</v>
      </c>
      <c r="X8">
        <f t="shared" ca="1" si="11"/>
        <v>2.8238193747889704</v>
      </c>
      <c r="Y8">
        <f t="shared" ca="1" si="12"/>
        <v>2.8554869391255893</v>
      </c>
      <c r="Z8">
        <f t="shared" ca="1" si="13"/>
        <v>2.906104691324265</v>
      </c>
      <c r="AA8">
        <f t="shared" ca="1" si="14"/>
        <v>2.9709123619878945</v>
      </c>
      <c r="AB8">
        <f t="shared" ca="1" si="15"/>
        <v>3.0283658360448107</v>
      </c>
      <c r="AC8">
        <f t="shared" ca="1" si="16"/>
        <v>2.9373527376897424</v>
      </c>
      <c r="AD8">
        <f t="shared" ca="1" si="17"/>
        <v>2.8689067766820204</v>
      </c>
      <c r="AE8">
        <f t="shared" ca="1" si="18"/>
        <v>2.7487194819691347</v>
      </c>
      <c r="AF8">
        <f t="shared" ca="1" si="19"/>
        <v>2.9349460980079702</v>
      </c>
      <c r="AG8">
        <f t="shared" ca="1" si="20"/>
        <v>2.9647819901838877</v>
      </c>
      <c r="AH8">
        <f t="shared" ca="1" si="21"/>
        <v>3.0852769078567306</v>
      </c>
      <c r="AI8">
        <f t="shared" ca="1" si="22"/>
        <v>2.9136604250155802</v>
      </c>
      <c r="AJ8">
        <f t="shared" ca="1" si="23"/>
        <v>2.7268293754916355</v>
      </c>
      <c r="AK8">
        <f t="shared" ca="1" si="24"/>
        <v>3.0929955402279683</v>
      </c>
      <c r="AL8">
        <f t="shared" ca="1" si="25"/>
        <v>3.083301693326292</v>
      </c>
      <c r="AM8">
        <f t="shared" ca="1" si="26"/>
        <v>2.9197450998717716</v>
      </c>
      <c r="AN8">
        <f t="shared" ca="1" si="27"/>
        <v>3.0209587061440515</v>
      </c>
      <c r="AO8">
        <f t="shared" ca="1" si="28"/>
        <v>2.9165264633783572</v>
      </c>
      <c r="AP8">
        <f t="shared" ca="1" si="29"/>
        <v>2.9051750407378254</v>
      </c>
      <c r="AQ8">
        <f t="shared" ca="1" si="30"/>
        <v>2.764985394132816</v>
      </c>
      <c r="AR8">
        <f t="shared" ca="1" si="31"/>
        <v>3.0600684111558074</v>
      </c>
      <c r="AS8">
        <f t="shared" ca="1" si="32"/>
        <v>2.6120456036300519</v>
      </c>
      <c r="AT8">
        <f t="shared" ca="1" si="33"/>
        <v>3.054815557087831</v>
      </c>
      <c r="AU8">
        <f t="shared" ca="1" si="34"/>
        <v>3.0850767431529653</v>
      </c>
      <c r="AV8">
        <f t="shared" ca="1" si="35"/>
        <v>2.9225182433596331</v>
      </c>
      <c r="AW8">
        <f t="shared" ca="1" si="36"/>
        <v>2.9170221446731128</v>
      </c>
      <c r="AX8">
        <f t="shared" ca="1" si="37"/>
        <v>2.9663718512417501</v>
      </c>
      <c r="AY8">
        <f t="shared" ca="1" si="38"/>
        <v>2.8928384883720808</v>
      </c>
      <c r="AZ8">
        <f t="shared" ca="1" si="39"/>
        <v>3.0309929660003618</v>
      </c>
    </row>
    <row r="9" spans="2:52" x14ac:dyDescent="0.35">
      <c r="B9" s="3">
        <v>45700</v>
      </c>
      <c r="C9" s="4">
        <v>431.79998779296801</v>
      </c>
      <c r="D9">
        <f t="shared" si="0"/>
        <v>4.3425872117618849E-2</v>
      </c>
      <c r="F9" s="60" t="s">
        <v>229</v>
      </c>
      <c r="G9" s="60"/>
      <c r="H9" s="60"/>
      <c r="I9" s="60"/>
      <c r="J9" s="60"/>
      <c r="L9" t="s">
        <v>104</v>
      </c>
      <c r="M9">
        <f t="shared" ca="1" si="40"/>
        <v>2.9417747763513447</v>
      </c>
      <c r="N9">
        <f t="shared" ca="1" si="41"/>
        <v>3.0829798981657159</v>
      </c>
      <c r="O9">
        <f t="shared" ca="1" si="2"/>
        <v>2.9435658566164542</v>
      </c>
      <c r="P9">
        <f t="shared" ca="1" si="3"/>
        <v>3.0388066034854795</v>
      </c>
      <c r="Q9">
        <f t="shared" ca="1" si="4"/>
        <v>2.8592604905729293</v>
      </c>
      <c r="R9">
        <f t="shared" ca="1" si="5"/>
        <v>3.0589122948298946</v>
      </c>
      <c r="S9">
        <f t="shared" ca="1" si="6"/>
        <v>2.9308772743034308</v>
      </c>
      <c r="T9">
        <f t="shared" ca="1" si="7"/>
        <v>3.1449399801780049</v>
      </c>
      <c r="U9">
        <f t="shared" ca="1" si="8"/>
        <v>3.0278850093711922</v>
      </c>
      <c r="V9">
        <f t="shared" ca="1" si="9"/>
        <v>2.9960431012716864</v>
      </c>
      <c r="W9">
        <f t="shared" ca="1" si="10"/>
        <v>2.8215464245583757</v>
      </c>
      <c r="X9">
        <f t="shared" ca="1" si="11"/>
        <v>2.9378281027393602</v>
      </c>
      <c r="Y9">
        <f t="shared" ca="1" si="12"/>
        <v>3.0050868623115909</v>
      </c>
      <c r="Z9">
        <f t="shared" ca="1" si="13"/>
        <v>2.8880119815727392</v>
      </c>
      <c r="AA9">
        <f t="shared" ca="1" si="14"/>
        <v>2.9127115325065676</v>
      </c>
      <c r="AB9">
        <f t="shared" ca="1" si="15"/>
        <v>3.0037076286773772</v>
      </c>
      <c r="AC9">
        <f t="shared" ca="1" si="16"/>
        <v>2.9585633145700645</v>
      </c>
      <c r="AD9">
        <f t="shared" ca="1" si="17"/>
        <v>2.9922366382941932</v>
      </c>
      <c r="AE9">
        <f t="shared" ca="1" si="18"/>
        <v>2.6350970250670671</v>
      </c>
      <c r="AF9">
        <f t="shared" ca="1" si="19"/>
        <v>2.8294640551102139</v>
      </c>
      <c r="AG9">
        <f t="shared" ca="1" si="20"/>
        <v>3.0095166171260663</v>
      </c>
      <c r="AH9">
        <f t="shared" ca="1" si="21"/>
        <v>3.0585891999149419</v>
      </c>
      <c r="AI9">
        <f t="shared" ca="1" si="22"/>
        <v>3.0604162350897588</v>
      </c>
      <c r="AJ9">
        <f t="shared" ca="1" si="23"/>
        <v>2.763911367372867</v>
      </c>
      <c r="AK9">
        <f t="shared" ca="1" si="24"/>
        <v>2.953153841204792</v>
      </c>
      <c r="AL9">
        <f t="shared" ca="1" si="25"/>
        <v>3.0992310086757158</v>
      </c>
      <c r="AM9">
        <f t="shared" ca="1" si="26"/>
        <v>2.9396154197079989</v>
      </c>
      <c r="AN9">
        <f t="shared" ca="1" si="27"/>
        <v>2.957678122945262</v>
      </c>
      <c r="AO9">
        <f t="shared" ca="1" si="28"/>
        <v>2.8619064200615587</v>
      </c>
      <c r="AP9">
        <f t="shared" ca="1" si="29"/>
        <v>2.88326765735638</v>
      </c>
      <c r="AQ9">
        <f t="shared" ca="1" si="30"/>
        <v>2.6481156576089138</v>
      </c>
      <c r="AR9">
        <f t="shared" ca="1" si="31"/>
        <v>3.0680516714668054</v>
      </c>
      <c r="AS9">
        <f t="shared" ca="1" si="32"/>
        <v>2.6811722343728919</v>
      </c>
      <c r="AT9">
        <f t="shared" ca="1" si="33"/>
        <v>3.1072835664786242</v>
      </c>
      <c r="AU9">
        <f t="shared" ca="1" si="34"/>
        <v>2.9492052457859854</v>
      </c>
      <c r="AV9">
        <f t="shared" ca="1" si="35"/>
        <v>2.9785942853788434</v>
      </c>
      <c r="AW9">
        <f t="shared" ca="1" si="36"/>
        <v>3.0259026070894306</v>
      </c>
      <c r="AX9">
        <f t="shared" ca="1" si="37"/>
        <v>2.8787352499259136</v>
      </c>
      <c r="AY9">
        <f t="shared" ca="1" si="38"/>
        <v>2.938731670201379</v>
      </c>
      <c r="AZ9">
        <f t="shared" ca="1" si="39"/>
        <v>3.1692280250443852</v>
      </c>
    </row>
    <row r="10" spans="2:52" x14ac:dyDescent="0.35">
      <c r="B10" s="3">
        <v>45701</v>
      </c>
      <c r="C10" s="4">
        <v>438.89999389648398</v>
      </c>
      <c r="D10">
        <f t="shared" si="0"/>
        <v>1.6309092977194736E-2</v>
      </c>
      <c r="F10" t="s">
        <v>58</v>
      </c>
      <c r="J10" s="1">
        <f ca="1">G5*EXP((G6-0.5*J6^2)*G7+(J6*SQRT(G7)*_xlfn.NORM.S.INV(RAND())))</f>
        <v>2.9522867082470077</v>
      </c>
      <c r="L10" t="s">
        <v>105</v>
      </c>
      <c r="M10">
        <f t="shared" ca="1" si="40"/>
        <v>2.9959488576663289</v>
      </c>
      <c r="N10">
        <f t="shared" ca="1" si="41"/>
        <v>3.1428526050728967</v>
      </c>
      <c r="O10">
        <f t="shared" ca="1" si="2"/>
        <v>2.9137515715758791</v>
      </c>
      <c r="P10">
        <f t="shared" ca="1" si="3"/>
        <v>2.9927132229196465</v>
      </c>
      <c r="Q10">
        <f t="shared" ca="1" si="4"/>
        <v>2.8995088008105849</v>
      </c>
      <c r="R10">
        <f t="shared" ca="1" si="5"/>
        <v>2.9723858396767167</v>
      </c>
      <c r="S10">
        <f t="shared" ca="1" si="6"/>
        <v>2.7360949142344397</v>
      </c>
      <c r="T10">
        <f t="shared" ca="1" si="7"/>
        <v>3.1281385810581721</v>
      </c>
      <c r="U10">
        <f t="shared" ca="1" si="8"/>
        <v>2.9947771421843843</v>
      </c>
      <c r="V10">
        <f t="shared" ca="1" si="9"/>
        <v>3.1307913809719548</v>
      </c>
      <c r="W10">
        <f t="shared" ca="1" si="10"/>
        <v>2.7535541500308751</v>
      </c>
      <c r="X10">
        <f t="shared" ca="1" si="11"/>
        <v>2.8013401744456465</v>
      </c>
      <c r="Y10">
        <f t="shared" ca="1" si="12"/>
        <v>2.9015056681092664</v>
      </c>
      <c r="Z10">
        <f t="shared" ca="1" si="13"/>
        <v>2.8569542431101294</v>
      </c>
      <c r="AA10">
        <f t="shared" ca="1" si="14"/>
        <v>2.799921766080669</v>
      </c>
      <c r="AB10">
        <f t="shared" ca="1" si="15"/>
        <v>3.1118012848092387</v>
      </c>
      <c r="AC10">
        <f t="shared" ca="1" si="16"/>
        <v>2.9543449427110504</v>
      </c>
      <c r="AD10">
        <f t="shared" ca="1" si="17"/>
        <v>3.0677536778432128</v>
      </c>
      <c r="AE10">
        <f t="shared" ca="1" si="18"/>
        <v>2.6054317816523778</v>
      </c>
      <c r="AF10">
        <f t="shared" ca="1" si="19"/>
        <v>2.7852853872394263</v>
      </c>
      <c r="AG10">
        <f t="shared" ca="1" si="20"/>
        <v>3.0210299762545483</v>
      </c>
      <c r="AH10">
        <f t="shared" ca="1" si="21"/>
        <v>3.1279841466770453</v>
      </c>
      <c r="AI10">
        <f t="shared" ca="1" si="22"/>
        <v>2.9932957733035859</v>
      </c>
      <c r="AJ10">
        <f t="shared" ca="1" si="23"/>
        <v>2.8086501593100244</v>
      </c>
      <c r="AK10">
        <f t="shared" ca="1" si="24"/>
        <v>3.0804513772866153</v>
      </c>
      <c r="AL10">
        <f t="shared" ca="1" si="25"/>
        <v>3.2568012965771356</v>
      </c>
      <c r="AM10">
        <f t="shared" ca="1" si="26"/>
        <v>2.8945659043241925</v>
      </c>
      <c r="AN10">
        <f t="shared" ca="1" si="27"/>
        <v>2.9818490317777839</v>
      </c>
      <c r="AO10">
        <f t="shared" ca="1" si="28"/>
        <v>2.7592417509636427</v>
      </c>
      <c r="AP10">
        <f t="shared" ca="1" si="29"/>
        <v>2.7774721269427753</v>
      </c>
      <c r="AQ10">
        <f t="shared" ca="1" si="30"/>
        <v>2.6276410563160755</v>
      </c>
      <c r="AR10">
        <f t="shared" ca="1" si="31"/>
        <v>3.1880879163616553</v>
      </c>
      <c r="AS10">
        <f t="shared" ca="1" si="32"/>
        <v>2.6342867298349799</v>
      </c>
      <c r="AT10">
        <f t="shared" ca="1" si="33"/>
        <v>3.0977708066790011</v>
      </c>
      <c r="AU10">
        <f t="shared" ca="1" si="34"/>
        <v>2.9884268910184657</v>
      </c>
      <c r="AV10">
        <f t="shared" ca="1" si="35"/>
        <v>3.0027609923237999</v>
      </c>
      <c r="AW10">
        <f t="shared" ca="1" si="36"/>
        <v>2.9903906078997524</v>
      </c>
      <c r="AX10">
        <f t="shared" ca="1" si="37"/>
        <v>2.7897387022080813</v>
      </c>
      <c r="AY10">
        <f t="shared" ca="1" si="38"/>
        <v>3.039014031054001</v>
      </c>
      <c r="AZ10">
        <f t="shared" ca="1" si="39"/>
        <v>3.2158564970365018</v>
      </c>
    </row>
    <row r="11" spans="2:52" x14ac:dyDescent="0.35">
      <c r="B11" s="3">
        <v>45702</v>
      </c>
      <c r="C11" s="4">
        <v>419.75</v>
      </c>
      <c r="D11">
        <f t="shared" si="0"/>
        <v>-4.4612286830144683E-2</v>
      </c>
      <c r="F11" s="6" t="s">
        <v>226</v>
      </c>
      <c r="J11" s="9">
        <f ca="1">AVERAGE(M5:AZ130)</f>
        <v>2.9987363714510327</v>
      </c>
      <c r="L11" t="s">
        <v>106</v>
      </c>
      <c r="M11">
        <f t="shared" ca="1" si="40"/>
        <v>2.9766105521840114</v>
      </c>
      <c r="N11">
        <f t="shared" ca="1" si="41"/>
        <v>3.0684051496870497</v>
      </c>
      <c r="O11">
        <f t="shared" ca="1" si="2"/>
        <v>2.9378830820922466</v>
      </c>
      <c r="P11">
        <f t="shared" ca="1" si="3"/>
        <v>2.9171582196904415</v>
      </c>
      <c r="Q11">
        <f t="shared" ca="1" si="4"/>
        <v>2.8271726974918772</v>
      </c>
      <c r="R11">
        <f t="shared" ca="1" si="5"/>
        <v>3.034460642192796</v>
      </c>
      <c r="S11">
        <f t="shared" ca="1" si="6"/>
        <v>2.682066685284807</v>
      </c>
      <c r="T11">
        <f t="shared" ca="1" si="7"/>
        <v>3.2069607701784322</v>
      </c>
      <c r="U11">
        <f t="shared" ca="1" si="8"/>
        <v>2.9937196967512731</v>
      </c>
      <c r="V11">
        <f t="shared" ca="1" si="9"/>
        <v>3.1853519033210493</v>
      </c>
      <c r="W11">
        <f t="shared" ca="1" si="10"/>
        <v>2.6697942251831965</v>
      </c>
      <c r="X11">
        <f t="shared" ca="1" si="11"/>
        <v>2.8236902415064464</v>
      </c>
      <c r="Y11">
        <f t="shared" ca="1" si="12"/>
        <v>3.0049969754756098</v>
      </c>
      <c r="Z11">
        <f t="shared" ca="1" si="13"/>
        <v>2.8153570664689163</v>
      </c>
      <c r="AA11">
        <f t="shared" ca="1" si="14"/>
        <v>2.7580595596688453</v>
      </c>
      <c r="AB11">
        <f t="shared" ca="1" si="15"/>
        <v>3.1474401131443952</v>
      </c>
      <c r="AC11">
        <f t="shared" ca="1" si="16"/>
        <v>3.0105737719332324</v>
      </c>
      <c r="AD11">
        <f t="shared" ca="1" si="17"/>
        <v>3.0072608378708887</v>
      </c>
      <c r="AE11">
        <f t="shared" ca="1" si="18"/>
        <v>2.7273427284437655</v>
      </c>
      <c r="AF11">
        <f t="shared" ca="1" si="19"/>
        <v>2.8121152628288879</v>
      </c>
      <c r="AG11">
        <f t="shared" ca="1" si="20"/>
        <v>3.0788455547507976</v>
      </c>
      <c r="AH11">
        <f t="shared" ca="1" si="21"/>
        <v>3.0022134107871055</v>
      </c>
      <c r="AI11">
        <f t="shared" ca="1" si="22"/>
        <v>3.0118351071763585</v>
      </c>
      <c r="AJ11">
        <f t="shared" ca="1" si="23"/>
        <v>2.802019727515467</v>
      </c>
      <c r="AK11">
        <f t="shared" ca="1" si="24"/>
        <v>2.9958877843658001</v>
      </c>
      <c r="AL11">
        <f t="shared" ca="1" si="25"/>
        <v>3.2441787569726692</v>
      </c>
      <c r="AM11">
        <f t="shared" ca="1" si="26"/>
        <v>2.9644046596285092</v>
      </c>
      <c r="AN11">
        <f t="shared" ca="1" si="27"/>
        <v>2.9409260644290964</v>
      </c>
      <c r="AO11">
        <f t="shared" ca="1" si="28"/>
        <v>2.6843081905483031</v>
      </c>
      <c r="AP11">
        <f t="shared" ca="1" si="29"/>
        <v>2.7846517206827057</v>
      </c>
      <c r="AQ11">
        <f t="shared" ca="1" si="30"/>
        <v>2.6251965871717404</v>
      </c>
      <c r="AR11">
        <f t="shared" ca="1" si="31"/>
        <v>3.1617634591222776</v>
      </c>
      <c r="AS11">
        <f t="shared" ca="1" si="32"/>
        <v>2.6971269162019369</v>
      </c>
      <c r="AT11">
        <f t="shared" ca="1" si="33"/>
        <v>3.2801975566823542</v>
      </c>
      <c r="AU11">
        <f t="shared" ca="1" si="34"/>
        <v>2.9985748854327818</v>
      </c>
      <c r="AV11">
        <f t="shared" ca="1" si="35"/>
        <v>2.9566545533777528</v>
      </c>
      <c r="AW11">
        <f t="shared" ca="1" si="36"/>
        <v>3.0137527450557444</v>
      </c>
      <c r="AX11">
        <f t="shared" ca="1" si="37"/>
        <v>2.8087302402881038</v>
      </c>
      <c r="AY11">
        <f t="shared" ca="1" si="38"/>
        <v>3.0696707018086999</v>
      </c>
      <c r="AZ11">
        <f t="shared" ca="1" si="39"/>
        <v>3.3092623086472681</v>
      </c>
    </row>
    <row r="12" spans="2:52" x14ac:dyDescent="0.35">
      <c r="B12" s="3">
        <v>45706</v>
      </c>
      <c r="C12" s="4">
        <v>419</v>
      </c>
      <c r="D12">
        <f t="shared" si="0"/>
        <v>-1.7883760355124918E-3</v>
      </c>
      <c r="F12" t="s">
        <v>227</v>
      </c>
      <c r="J12" s="1">
        <f ca="1">MAX(M5:AZ130)</f>
        <v>5.7563136462582465</v>
      </c>
      <c r="L12" t="s">
        <v>107</v>
      </c>
      <c r="M12">
        <f t="shared" ca="1" si="40"/>
        <v>3.0852737132771844</v>
      </c>
      <c r="N12">
        <f t="shared" ca="1" si="41"/>
        <v>3.1163884493422436</v>
      </c>
      <c r="O12">
        <f t="shared" ca="1" si="2"/>
        <v>2.964951066584852</v>
      </c>
      <c r="P12">
        <f t="shared" ca="1" si="3"/>
        <v>3.0706649184853267</v>
      </c>
      <c r="Q12">
        <f t="shared" ca="1" si="4"/>
        <v>2.8799384679368383</v>
      </c>
      <c r="R12">
        <f t="shared" ca="1" si="5"/>
        <v>2.9560993285008381</v>
      </c>
      <c r="S12">
        <f t="shared" ca="1" si="6"/>
        <v>2.5994577925163505</v>
      </c>
      <c r="T12">
        <f t="shared" ca="1" si="7"/>
        <v>3.2568591883830211</v>
      </c>
      <c r="U12">
        <f t="shared" ca="1" si="8"/>
        <v>2.9702824709025677</v>
      </c>
      <c r="V12">
        <f t="shared" ca="1" si="9"/>
        <v>3.0847283261827143</v>
      </c>
      <c r="W12">
        <f t="shared" ca="1" si="10"/>
        <v>2.7627316280611782</v>
      </c>
      <c r="X12">
        <f t="shared" ca="1" si="11"/>
        <v>2.7659646083453504</v>
      </c>
      <c r="Y12">
        <f t="shared" ca="1" si="12"/>
        <v>2.9983835649263511</v>
      </c>
      <c r="Z12">
        <f t="shared" ca="1" si="13"/>
        <v>2.8442224536666636</v>
      </c>
      <c r="AA12">
        <f t="shared" ca="1" si="14"/>
        <v>2.7919345866736505</v>
      </c>
      <c r="AB12">
        <f t="shared" ca="1" si="15"/>
        <v>3.0644826607545816</v>
      </c>
      <c r="AC12">
        <f t="shared" ca="1" si="16"/>
        <v>2.9565693030439473</v>
      </c>
      <c r="AD12">
        <f t="shared" ca="1" si="17"/>
        <v>3.0329454280080625</v>
      </c>
      <c r="AE12">
        <f t="shared" ca="1" si="18"/>
        <v>2.6796662508238041</v>
      </c>
      <c r="AF12">
        <f t="shared" ca="1" si="19"/>
        <v>2.8069076037205734</v>
      </c>
      <c r="AG12">
        <f t="shared" ca="1" si="20"/>
        <v>3.0772092180233575</v>
      </c>
      <c r="AH12">
        <f t="shared" ca="1" si="21"/>
        <v>2.9780078119851758</v>
      </c>
      <c r="AI12">
        <f t="shared" ca="1" si="22"/>
        <v>3.0192099649417172</v>
      </c>
      <c r="AJ12">
        <f t="shared" ca="1" si="23"/>
        <v>2.7442301636090951</v>
      </c>
      <c r="AK12">
        <f t="shared" ca="1" si="24"/>
        <v>3.01541968779433</v>
      </c>
      <c r="AL12">
        <f t="shared" ca="1" si="25"/>
        <v>3.2470324081857695</v>
      </c>
      <c r="AM12">
        <f t="shared" ca="1" si="26"/>
        <v>3.064244823871848</v>
      </c>
      <c r="AN12">
        <f t="shared" ca="1" si="27"/>
        <v>2.9830123932877775</v>
      </c>
      <c r="AO12">
        <f t="shared" ca="1" si="28"/>
        <v>2.6270074368731731</v>
      </c>
      <c r="AP12">
        <f t="shared" ca="1" si="29"/>
        <v>2.8191388581459367</v>
      </c>
      <c r="AQ12">
        <f t="shared" ca="1" si="30"/>
        <v>2.6352851068935972</v>
      </c>
      <c r="AR12">
        <f t="shared" ca="1" si="31"/>
        <v>3.1718733463275059</v>
      </c>
      <c r="AS12">
        <f t="shared" ca="1" si="32"/>
        <v>2.7754968244894931</v>
      </c>
      <c r="AT12">
        <f t="shared" ca="1" si="33"/>
        <v>3.2027840576898945</v>
      </c>
      <c r="AU12">
        <f t="shared" ca="1" si="34"/>
        <v>3.0127908238863914</v>
      </c>
      <c r="AV12">
        <f t="shared" ca="1" si="35"/>
        <v>2.9244095915902961</v>
      </c>
      <c r="AW12">
        <f t="shared" ca="1" si="36"/>
        <v>2.9570932373009953</v>
      </c>
      <c r="AX12">
        <f t="shared" ca="1" si="37"/>
        <v>2.7435627192513228</v>
      </c>
      <c r="AY12">
        <f t="shared" ca="1" si="38"/>
        <v>3.0294371892233167</v>
      </c>
      <c r="AZ12">
        <f t="shared" ca="1" si="39"/>
        <v>3.3050803184814033</v>
      </c>
    </row>
    <row r="13" spans="2:52" x14ac:dyDescent="0.35">
      <c r="B13" s="3">
        <v>45707</v>
      </c>
      <c r="C13" s="4">
        <v>417.89999389648398</v>
      </c>
      <c r="D13">
        <f t="shared" si="0"/>
        <v>-2.6287650734751361E-3</v>
      </c>
      <c r="F13" t="s">
        <v>228</v>
      </c>
      <c r="J13" s="1">
        <f ca="1">MIN(M5:AZ130)</f>
        <v>1.5607482559313586</v>
      </c>
      <c r="L13" t="s">
        <v>108</v>
      </c>
      <c r="M13">
        <f t="shared" ca="1" si="40"/>
        <v>2.907518715550506</v>
      </c>
      <c r="N13">
        <f t="shared" ca="1" si="41"/>
        <v>3.1042587482830157</v>
      </c>
      <c r="O13">
        <f t="shared" ca="1" si="2"/>
        <v>2.899922561767486</v>
      </c>
      <c r="P13">
        <f t="shared" ca="1" si="3"/>
        <v>3.0887081856130862</v>
      </c>
      <c r="Q13">
        <f t="shared" ca="1" si="4"/>
        <v>2.9720635086944069</v>
      </c>
      <c r="R13">
        <f t="shared" ca="1" si="5"/>
        <v>2.9865922790878634</v>
      </c>
      <c r="S13">
        <f t="shared" ca="1" si="6"/>
        <v>2.7131751976385656</v>
      </c>
      <c r="T13">
        <f t="shared" ca="1" si="7"/>
        <v>3.3112420318576432</v>
      </c>
      <c r="U13">
        <f t="shared" ca="1" si="8"/>
        <v>3.0194547122803854</v>
      </c>
      <c r="V13">
        <f t="shared" ca="1" si="9"/>
        <v>2.9957764909663207</v>
      </c>
      <c r="W13">
        <f t="shared" ca="1" si="10"/>
        <v>2.8186107023496905</v>
      </c>
      <c r="X13">
        <f t="shared" ca="1" si="11"/>
        <v>2.7601318101588004</v>
      </c>
      <c r="Y13">
        <f t="shared" ca="1" si="12"/>
        <v>3.1088033757497531</v>
      </c>
      <c r="Z13">
        <f t="shared" ca="1" si="13"/>
        <v>2.9411763763441545</v>
      </c>
      <c r="AA13">
        <f t="shared" ca="1" si="14"/>
        <v>2.6685238547933769</v>
      </c>
      <c r="AB13">
        <f t="shared" ca="1" si="15"/>
        <v>2.9940047606297928</v>
      </c>
      <c r="AC13">
        <f t="shared" ca="1" si="16"/>
        <v>2.7976946521558235</v>
      </c>
      <c r="AD13">
        <f t="shared" ca="1" si="17"/>
        <v>2.974266371947822</v>
      </c>
      <c r="AE13">
        <f t="shared" ca="1" si="18"/>
        <v>2.5862044783750591</v>
      </c>
      <c r="AF13">
        <f t="shared" ca="1" si="19"/>
        <v>2.8083482977718659</v>
      </c>
      <c r="AG13">
        <f t="shared" ca="1" si="20"/>
        <v>3.1091582744589976</v>
      </c>
      <c r="AH13">
        <f t="shared" ca="1" si="21"/>
        <v>3.0723568532279186</v>
      </c>
      <c r="AI13">
        <f t="shared" ca="1" si="22"/>
        <v>3.0356050380363016</v>
      </c>
      <c r="AJ13">
        <f t="shared" ca="1" si="23"/>
        <v>2.5868402338015417</v>
      </c>
      <c r="AK13">
        <f t="shared" ca="1" si="24"/>
        <v>3.1019884293355457</v>
      </c>
      <c r="AL13">
        <f t="shared" ca="1" si="25"/>
        <v>3.2388018576609916</v>
      </c>
      <c r="AM13">
        <f t="shared" ca="1" si="26"/>
        <v>3.1588515134527704</v>
      </c>
      <c r="AN13">
        <f t="shared" ca="1" si="27"/>
        <v>2.9457239615887381</v>
      </c>
      <c r="AO13">
        <f t="shared" ca="1" si="28"/>
        <v>2.6485266077911347</v>
      </c>
      <c r="AP13">
        <f t="shared" ca="1" si="29"/>
        <v>2.8086912886397188</v>
      </c>
      <c r="AQ13">
        <f t="shared" ca="1" si="30"/>
        <v>2.5969939478139614</v>
      </c>
      <c r="AR13">
        <f t="shared" ca="1" si="31"/>
        <v>3.2901454363581828</v>
      </c>
      <c r="AS13">
        <f t="shared" ca="1" si="32"/>
        <v>2.7661669009896488</v>
      </c>
      <c r="AT13">
        <f t="shared" ca="1" si="33"/>
        <v>3.2112380285899085</v>
      </c>
      <c r="AU13">
        <f t="shared" ca="1" si="34"/>
        <v>3.1582732906747903</v>
      </c>
      <c r="AV13">
        <f t="shared" ca="1" si="35"/>
        <v>3.0527627027499431</v>
      </c>
      <c r="AW13">
        <f t="shared" ca="1" si="36"/>
        <v>2.9715231684307981</v>
      </c>
      <c r="AX13">
        <f t="shared" ca="1" si="37"/>
        <v>2.7899907186815169</v>
      </c>
      <c r="AY13">
        <f t="shared" ca="1" si="38"/>
        <v>2.9645353894627928</v>
      </c>
      <c r="AZ13">
        <f t="shared" ca="1" si="39"/>
        <v>3.3653099773073221</v>
      </c>
    </row>
    <row r="14" spans="2:52" x14ac:dyDescent="0.35">
      <c r="B14" s="3">
        <v>45708</v>
      </c>
      <c r="C14" s="4">
        <v>395.75</v>
      </c>
      <c r="D14">
        <f t="shared" si="0"/>
        <v>-5.4459456087541075E-2</v>
      </c>
      <c r="F14" s="14" t="s">
        <v>230</v>
      </c>
      <c r="G14" s="14"/>
      <c r="H14" s="14"/>
      <c r="I14" s="14"/>
      <c r="J14" s="17">
        <f ca="1">COUNTIF(M130:AZ130,"&gt;2.95")/COUNT(M130:AZ130)</f>
        <v>0.45</v>
      </c>
      <c r="L14" t="s">
        <v>109</v>
      </c>
      <c r="M14">
        <f t="shared" ca="1" si="40"/>
        <v>2.8878723938130029</v>
      </c>
      <c r="N14">
        <f t="shared" ca="1" si="41"/>
        <v>3.1744489590176066</v>
      </c>
      <c r="O14">
        <f t="shared" ca="1" si="2"/>
        <v>2.9502561988129234</v>
      </c>
      <c r="P14">
        <f t="shared" ca="1" si="3"/>
        <v>2.9236954179164121</v>
      </c>
      <c r="Q14">
        <f t="shared" ca="1" si="4"/>
        <v>2.8959367608082069</v>
      </c>
      <c r="R14">
        <f t="shared" ca="1" si="5"/>
        <v>2.9462187204585124</v>
      </c>
      <c r="S14">
        <f t="shared" ca="1" si="6"/>
        <v>2.6426808299306099</v>
      </c>
      <c r="T14">
        <f t="shared" ca="1" si="7"/>
        <v>3.2327388907424326</v>
      </c>
      <c r="U14">
        <f t="shared" ca="1" si="8"/>
        <v>3.0283216573783194</v>
      </c>
      <c r="V14">
        <f t="shared" ca="1" si="9"/>
        <v>2.9711690986589985</v>
      </c>
      <c r="W14">
        <f t="shared" ca="1" si="10"/>
        <v>2.8565599459435882</v>
      </c>
      <c r="X14">
        <f t="shared" ca="1" si="11"/>
        <v>2.6525219687157895</v>
      </c>
      <c r="Y14">
        <f t="shared" ca="1" si="12"/>
        <v>3.1202148052087546</v>
      </c>
      <c r="Z14">
        <f t="shared" ca="1" si="13"/>
        <v>2.8986075291097473</v>
      </c>
      <c r="AA14">
        <f t="shared" ca="1" si="14"/>
        <v>2.6349998727783688</v>
      </c>
      <c r="AB14">
        <f t="shared" ca="1" si="15"/>
        <v>3.09564896167175</v>
      </c>
      <c r="AC14">
        <f t="shared" ca="1" si="16"/>
        <v>2.8317403571883859</v>
      </c>
      <c r="AD14">
        <f t="shared" ca="1" si="17"/>
        <v>2.9831669306953468</v>
      </c>
      <c r="AE14">
        <f t="shared" ca="1" si="18"/>
        <v>2.5275999261305402</v>
      </c>
      <c r="AF14">
        <f t="shared" ca="1" si="19"/>
        <v>2.8962158980800372</v>
      </c>
      <c r="AG14">
        <f t="shared" ca="1" si="20"/>
        <v>3.1959498446242915</v>
      </c>
      <c r="AH14">
        <f t="shared" ca="1" si="21"/>
        <v>3.0425798350612037</v>
      </c>
      <c r="AI14">
        <f t="shared" ca="1" si="22"/>
        <v>3.1376647836369784</v>
      </c>
      <c r="AJ14">
        <f t="shared" ca="1" si="23"/>
        <v>2.4723315798355285</v>
      </c>
      <c r="AK14">
        <f t="shared" ca="1" si="24"/>
        <v>3.0730067745575251</v>
      </c>
      <c r="AL14">
        <f t="shared" ca="1" si="25"/>
        <v>3.1940872558024096</v>
      </c>
      <c r="AM14">
        <f t="shared" ca="1" si="26"/>
        <v>3.1029802629732393</v>
      </c>
      <c r="AN14">
        <f t="shared" ca="1" si="27"/>
        <v>3.067714960461859</v>
      </c>
      <c r="AO14">
        <f t="shared" ca="1" si="28"/>
        <v>2.633716104280774</v>
      </c>
      <c r="AP14">
        <f t="shared" ca="1" si="29"/>
        <v>2.937713759231336</v>
      </c>
      <c r="AQ14">
        <f t="shared" ca="1" si="30"/>
        <v>2.6556779354997966</v>
      </c>
      <c r="AR14">
        <f t="shared" ca="1" si="31"/>
        <v>3.2277410323168683</v>
      </c>
      <c r="AS14">
        <f t="shared" ca="1" si="32"/>
        <v>2.8781151887010838</v>
      </c>
      <c r="AT14">
        <f t="shared" ca="1" si="33"/>
        <v>3.2632717896734027</v>
      </c>
      <c r="AU14">
        <f t="shared" ca="1" si="34"/>
        <v>3.0113987391543526</v>
      </c>
      <c r="AV14">
        <f t="shared" ca="1" si="35"/>
        <v>3.103095026716101</v>
      </c>
      <c r="AW14">
        <f t="shared" ca="1" si="36"/>
        <v>2.9898264257204143</v>
      </c>
      <c r="AX14">
        <f t="shared" ca="1" si="37"/>
        <v>2.6737306434093209</v>
      </c>
      <c r="AY14">
        <f t="shared" ca="1" si="38"/>
        <v>3.0448329910757148</v>
      </c>
      <c r="AZ14">
        <f t="shared" ca="1" si="39"/>
        <v>3.3499591711984418</v>
      </c>
    </row>
    <row r="15" spans="2:52" x14ac:dyDescent="0.35">
      <c r="B15" s="3">
        <v>45709</v>
      </c>
      <c r="C15" s="4">
        <v>400</v>
      </c>
      <c r="D15">
        <f t="shared" si="0"/>
        <v>1.0681848346860354E-2</v>
      </c>
      <c r="L15" t="s">
        <v>110</v>
      </c>
      <c r="M15">
        <f t="shared" ca="1" si="40"/>
        <v>2.7224511515662178</v>
      </c>
      <c r="N15">
        <f t="shared" ca="1" si="41"/>
        <v>3.1300915806167935</v>
      </c>
      <c r="O15">
        <f t="shared" ca="1" si="2"/>
        <v>2.9218605750563706</v>
      </c>
      <c r="P15">
        <f t="shared" ca="1" si="3"/>
        <v>2.8257845992547588</v>
      </c>
      <c r="Q15">
        <f t="shared" ca="1" si="4"/>
        <v>2.8168488541533758</v>
      </c>
      <c r="R15">
        <f t="shared" ca="1" si="5"/>
        <v>3.1616215287941656</v>
      </c>
      <c r="S15">
        <f t="shared" ca="1" si="6"/>
        <v>2.5725528992466824</v>
      </c>
      <c r="T15">
        <f t="shared" ca="1" si="7"/>
        <v>3.2017665283108703</v>
      </c>
      <c r="U15">
        <f t="shared" ca="1" si="8"/>
        <v>2.8511533566145921</v>
      </c>
      <c r="V15">
        <f t="shared" ca="1" si="9"/>
        <v>2.971418002258492</v>
      </c>
      <c r="W15">
        <f t="shared" ca="1" si="10"/>
        <v>2.8401971510339421</v>
      </c>
      <c r="X15">
        <f t="shared" ca="1" si="11"/>
        <v>2.7047177613094422</v>
      </c>
      <c r="Y15">
        <f t="shared" ca="1" si="12"/>
        <v>3.0849990321715484</v>
      </c>
      <c r="Z15">
        <f t="shared" ca="1" si="13"/>
        <v>2.9437307644808093</v>
      </c>
      <c r="AA15">
        <f t="shared" ca="1" si="14"/>
        <v>2.5429776614147155</v>
      </c>
      <c r="AB15">
        <f t="shared" ca="1" si="15"/>
        <v>3.0451107732916163</v>
      </c>
      <c r="AC15">
        <f t="shared" ca="1" si="16"/>
        <v>2.9027354726885406</v>
      </c>
      <c r="AD15">
        <f t="shared" ca="1" si="17"/>
        <v>2.9740257221700719</v>
      </c>
      <c r="AE15">
        <f t="shared" ca="1" si="18"/>
        <v>2.4723608732022999</v>
      </c>
      <c r="AF15">
        <f t="shared" ca="1" si="19"/>
        <v>2.8693181592108687</v>
      </c>
      <c r="AG15">
        <f t="shared" ca="1" si="20"/>
        <v>3.2157869304096129</v>
      </c>
      <c r="AH15">
        <f t="shared" ca="1" si="21"/>
        <v>2.9177509364453043</v>
      </c>
      <c r="AI15">
        <f t="shared" ca="1" si="22"/>
        <v>3.1546498605727522</v>
      </c>
      <c r="AJ15">
        <f t="shared" ca="1" si="23"/>
        <v>2.4386226145235659</v>
      </c>
      <c r="AK15">
        <f t="shared" ca="1" si="24"/>
        <v>2.9559903422940157</v>
      </c>
      <c r="AL15">
        <f t="shared" ca="1" si="25"/>
        <v>3.0788261199549098</v>
      </c>
      <c r="AM15">
        <f t="shared" ca="1" si="26"/>
        <v>3.1037475233563816</v>
      </c>
      <c r="AN15">
        <f t="shared" ca="1" si="27"/>
        <v>3.0719804635309607</v>
      </c>
      <c r="AO15">
        <f t="shared" ca="1" si="28"/>
        <v>2.6512858625060844</v>
      </c>
      <c r="AP15">
        <f t="shared" ca="1" si="29"/>
        <v>3.0141346461166143</v>
      </c>
      <c r="AQ15">
        <f t="shared" ca="1" si="30"/>
        <v>2.6061898003487793</v>
      </c>
      <c r="AR15">
        <f t="shared" ca="1" si="31"/>
        <v>3.2074122758802757</v>
      </c>
      <c r="AS15">
        <f t="shared" ca="1" si="32"/>
        <v>2.9260864873646528</v>
      </c>
      <c r="AT15">
        <f t="shared" ca="1" si="33"/>
        <v>3.4187793158660993</v>
      </c>
      <c r="AU15">
        <f t="shared" ca="1" si="34"/>
        <v>3.0083047242515795</v>
      </c>
      <c r="AV15">
        <f t="shared" ca="1" si="35"/>
        <v>3.1702335518481206</v>
      </c>
      <c r="AW15">
        <f t="shared" ca="1" si="36"/>
        <v>3.1663551680402882</v>
      </c>
      <c r="AX15">
        <f t="shared" ca="1" si="37"/>
        <v>2.5947703566601423</v>
      </c>
      <c r="AY15">
        <f t="shared" ca="1" si="38"/>
        <v>3.0730456056453028</v>
      </c>
      <c r="AZ15">
        <f t="shared" ca="1" si="39"/>
        <v>3.3644586648676982</v>
      </c>
    </row>
    <row r="16" spans="2:52" x14ac:dyDescent="0.35">
      <c r="B16" s="3">
        <v>45712</v>
      </c>
      <c r="C16" s="4">
        <v>393.79998779296801</v>
      </c>
      <c r="D16">
        <f t="shared" si="0"/>
        <v>-1.562141190100705E-2</v>
      </c>
      <c r="L16" t="s">
        <v>111</v>
      </c>
      <c r="M16">
        <f t="shared" ca="1" si="40"/>
        <v>2.6509819499540979</v>
      </c>
      <c r="N16">
        <f t="shared" ca="1" si="41"/>
        <v>3.1846174256389075</v>
      </c>
      <c r="O16">
        <f t="shared" ca="1" si="2"/>
        <v>2.9832711399559764</v>
      </c>
      <c r="P16">
        <f t="shared" ca="1" si="3"/>
        <v>2.7725697252902539</v>
      </c>
      <c r="Q16">
        <f t="shared" ca="1" si="4"/>
        <v>2.8626513359203281</v>
      </c>
      <c r="R16">
        <f t="shared" ca="1" si="5"/>
        <v>3.2043178643726669</v>
      </c>
      <c r="S16">
        <f t="shared" ca="1" si="6"/>
        <v>2.4688279904061412</v>
      </c>
      <c r="T16">
        <f t="shared" ca="1" si="7"/>
        <v>3.1695954229564016</v>
      </c>
      <c r="U16">
        <f t="shared" ca="1" si="8"/>
        <v>2.8793886530321715</v>
      </c>
      <c r="V16">
        <f t="shared" ca="1" si="9"/>
        <v>2.9704694113540846</v>
      </c>
      <c r="W16">
        <f t="shared" ca="1" si="10"/>
        <v>2.9377792100603073</v>
      </c>
      <c r="X16">
        <f t="shared" ca="1" si="11"/>
        <v>2.5880455103317987</v>
      </c>
      <c r="Y16">
        <f t="shared" ca="1" si="12"/>
        <v>3.0840026455657141</v>
      </c>
      <c r="Z16">
        <f t="shared" ca="1" si="13"/>
        <v>3.0687897897469516</v>
      </c>
      <c r="AA16">
        <f t="shared" ca="1" si="14"/>
        <v>2.518089865769785</v>
      </c>
      <c r="AB16">
        <f t="shared" ca="1" si="15"/>
        <v>3.1017772086407374</v>
      </c>
      <c r="AC16">
        <f t="shared" ca="1" si="16"/>
        <v>2.9804843803325145</v>
      </c>
      <c r="AD16">
        <f t="shared" ca="1" si="17"/>
        <v>2.7703962557630022</v>
      </c>
      <c r="AE16">
        <f t="shared" ca="1" si="18"/>
        <v>2.5549872041480732</v>
      </c>
      <c r="AF16">
        <f t="shared" ca="1" si="19"/>
        <v>2.7716465560370294</v>
      </c>
      <c r="AG16">
        <f t="shared" ca="1" si="20"/>
        <v>3.1277907465427273</v>
      </c>
      <c r="AH16">
        <f t="shared" ca="1" si="21"/>
        <v>2.8831078515624049</v>
      </c>
      <c r="AI16">
        <f t="shared" ca="1" si="22"/>
        <v>3.2127884775682016</v>
      </c>
      <c r="AJ16">
        <f t="shared" ca="1" si="23"/>
        <v>2.4298689143113812</v>
      </c>
      <c r="AK16">
        <f t="shared" ca="1" si="24"/>
        <v>2.8748983472040797</v>
      </c>
      <c r="AL16">
        <f t="shared" ca="1" si="25"/>
        <v>2.8944369572272821</v>
      </c>
      <c r="AM16">
        <f t="shared" ca="1" si="26"/>
        <v>3.0202601845391994</v>
      </c>
      <c r="AN16">
        <f t="shared" ca="1" si="27"/>
        <v>3.0820450165934972</v>
      </c>
      <c r="AO16">
        <f t="shared" ca="1" si="28"/>
        <v>2.6711121716471888</v>
      </c>
      <c r="AP16">
        <f t="shared" ca="1" si="29"/>
        <v>2.8950401343694736</v>
      </c>
      <c r="AQ16">
        <f t="shared" ca="1" si="30"/>
        <v>2.5420874465365344</v>
      </c>
      <c r="AR16">
        <f t="shared" ca="1" si="31"/>
        <v>3.0707641966555461</v>
      </c>
      <c r="AS16">
        <f t="shared" ca="1" si="32"/>
        <v>3.0349818059401716</v>
      </c>
      <c r="AT16">
        <f t="shared" ca="1" si="33"/>
        <v>3.4167323099226521</v>
      </c>
      <c r="AU16">
        <f t="shared" ca="1" si="34"/>
        <v>3.0060264200820921</v>
      </c>
      <c r="AV16">
        <f t="shared" ca="1" si="35"/>
        <v>3.0698196622659877</v>
      </c>
      <c r="AW16">
        <f t="shared" ca="1" si="36"/>
        <v>3.1444683916073646</v>
      </c>
      <c r="AX16">
        <f t="shared" ca="1" si="37"/>
        <v>2.6889736729661182</v>
      </c>
      <c r="AY16">
        <f t="shared" ca="1" si="38"/>
        <v>3.0608614896559558</v>
      </c>
      <c r="AZ16">
        <f t="shared" ca="1" si="39"/>
        <v>3.3297341055713203</v>
      </c>
    </row>
    <row r="17" spans="2:52" x14ac:dyDescent="0.35">
      <c r="B17" s="3">
        <v>45713</v>
      </c>
      <c r="C17" s="4">
        <v>380.5</v>
      </c>
      <c r="D17">
        <f t="shared" si="0"/>
        <v>-3.4356957905234409E-2</v>
      </c>
      <c r="L17" t="s">
        <v>112</v>
      </c>
      <c r="M17">
        <f t="shared" ca="1" si="40"/>
        <v>2.6010770504538594</v>
      </c>
      <c r="N17">
        <f t="shared" ca="1" si="41"/>
        <v>3.3105479160122186</v>
      </c>
      <c r="O17">
        <f t="shared" ca="1" si="2"/>
        <v>2.9970822675325226</v>
      </c>
      <c r="P17">
        <f t="shared" ca="1" si="3"/>
        <v>2.7189009459220435</v>
      </c>
      <c r="Q17">
        <f t="shared" ca="1" si="4"/>
        <v>2.6976817830019248</v>
      </c>
      <c r="R17">
        <f t="shared" ca="1" si="5"/>
        <v>3.1895452027272646</v>
      </c>
      <c r="S17">
        <f t="shared" ca="1" si="6"/>
        <v>2.4327459017735711</v>
      </c>
      <c r="T17">
        <f t="shared" ca="1" si="7"/>
        <v>3.2372286821350498</v>
      </c>
      <c r="U17">
        <f t="shared" ca="1" si="8"/>
        <v>2.9696207199893321</v>
      </c>
      <c r="V17">
        <f t="shared" ca="1" si="9"/>
        <v>2.934209813671619</v>
      </c>
      <c r="W17">
        <f t="shared" ca="1" si="10"/>
        <v>2.7700274777639939</v>
      </c>
      <c r="X17">
        <f t="shared" ca="1" si="11"/>
        <v>2.6770906133517478</v>
      </c>
      <c r="Y17">
        <f t="shared" ca="1" si="12"/>
        <v>3.0703735141981028</v>
      </c>
      <c r="Z17">
        <f t="shared" ca="1" si="13"/>
        <v>3.022471142710307</v>
      </c>
      <c r="AA17">
        <f t="shared" ca="1" si="14"/>
        <v>2.5690820653505817</v>
      </c>
      <c r="AB17">
        <f t="shared" ca="1" si="15"/>
        <v>3.1417933516040106</v>
      </c>
      <c r="AC17">
        <f t="shared" ca="1" si="16"/>
        <v>3.0304742889009249</v>
      </c>
      <c r="AD17">
        <f t="shared" ca="1" si="17"/>
        <v>2.776911314487998</v>
      </c>
      <c r="AE17">
        <f t="shared" ca="1" si="18"/>
        <v>2.6093714881270018</v>
      </c>
      <c r="AF17">
        <f t="shared" ca="1" si="19"/>
        <v>2.7386282988484951</v>
      </c>
      <c r="AG17">
        <f t="shared" ca="1" si="20"/>
        <v>3.0079752888219633</v>
      </c>
      <c r="AH17">
        <f t="shared" ca="1" si="21"/>
        <v>2.9012152330651135</v>
      </c>
      <c r="AI17">
        <f t="shared" ca="1" si="22"/>
        <v>3.3290455746373193</v>
      </c>
      <c r="AJ17">
        <f t="shared" ca="1" si="23"/>
        <v>2.3615364701373402</v>
      </c>
      <c r="AK17">
        <f t="shared" ca="1" si="24"/>
        <v>2.9004576016647752</v>
      </c>
      <c r="AL17">
        <f t="shared" ca="1" si="25"/>
        <v>2.9582559325812818</v>
      </c>
      <c r="AM17">
        <f t="shared" ca="1" si="26"/>
        <v>3.149655700626572</v>
      </c>
      <c r="AN17">
        <f t="shared" ca="1" si="27"/>
        <v>2.9704713854211433</v>
      </c>
      <c r="AO17">
        <f t="shared" ca="1" si="28"/>
        <v>2.7045217766018657</v>
      </c>
      <c r="AP17">
        <f t="shared" ca="1" si="29"/>
        <v>2.8182462567984707</v>
      </c>
      <c r="AQ17">
        <f t="shared" ca="1" si="30"/>
        <v>2.5241668306708318</v>
      </c>
      <c r="AR17">
        <f t="shared" ca="1" si="31"/>
        <v>3.197613350036165</v>
      </c>
      <c r="AS17">
        <f t="shared" ca="1" si="32"/>
        <v>2.8665289937717313</v>
      </c>
      <c r="AT17">
        <f t="shared" ca="1" si="33"/>
        <v>3.3609854736415432</v>
      </c>
      <c r="AU17">
        <f t="shared" ca="1" si="34"/>
        <v>2.9897423551298421</v>
      </c>
      <c r="AV17">
        <f t="shared" ca="1" si="35"/>
        <v>3.0399087950968862</v>
      </c>
      <c r="AW17">
        <f t="shared" ca="1" si="36"/>
        <v>3.2261221292180444</v>
      </c>
      <c r="AX17">
        <f t="shared" ca="1" si="37"/>
        <v>2.729861991298776</v>
      </c>
      <c r="AY17">
        <f t="shared" ca="1" si="38"/>
        <v>3.138564262813401</v>
      </c>
      <c r="AZ17">
        <f t="shared" ca="1" si="39"/>
        <v>3.4210919831789863</v>
      </c>
    </row>
    <row r="18" spans="2:52" x14ac:dyDescent="0.35">
      <c r="B18" s="3">
        <v>45714</v>
      </c>
      <c r="C18" s="4">
        <v>379.45001220703102</v>
      </c>
      <c r="D18">
        <f t="shared" si="0"/>
        <v>-2.7633092814910963E-3</v>
      </c>
      <c r="L18" t="s">
        <v>113</v>
      </c>
      <c r="M18">
        <f t="shared" ca="1" si="40"/>
        <v>2.6282972241154141</v>
      </c>
      <c r="N18">
        <f t="shared" ca="1" si="41"/>
        <v>3.3214523631184072</v>
      </c>
      <c r="O18">
        <f t="shared" ca="1" si="2"/>
        <v>3.0672279217088403</v>
      </c>
      <c r="P18">
        <f t="shared" ca="1" si="3"/>
        <v>2.6660818086399156</v>
      </c>
      <c r="Q18">
        <f t="shared" ca="1" si="4"/>
        <v>2.6773038048572317</v>
      </c>
      <c r="R18">
        <f t="shared" ca="1" si="5"/>
        <v>3.1855582741170174</v>
      </c>
      <c r="S18">
        <f t="shared" ca="1" si="6"/>
        <v>2.4191359177501939</v>
      </c>
      <c r="T18">
        <f t="shared" ca="1" si="7"/>
        <v>3.2651484757618725</v>
      </c>
      <c r="U18">
        <f t="shared" ca="1" si="8"/>
        <v>2.9849970457575692</v>
      </c>
      <c r="V18">
        <f t="shared" ca="1" si="9"/>
        <v>2.9034287349074748</v>
      </c>
      <c r="W18">
        <f t="shared" ca="1" si="10"/>
        <v>2.8085012682331447</v>
      </c>
      <c r="X18">
        <f t="shared" ca="1" si="11"/>
        <v>2.6534554412426892</v>
      </c>
      <c r="Y18">
        <f t="shared" ca="1" si="12"/>
        <v>2.9732716747725556</v>
      </c>
      <c r="Z18">
        <f t="shared" ca="1" si="13"/>
        <v>2.9507581026131167</v>
      </c>
      <c r="AA18">
        <f t="shared" ca="1" si="14"/>
        <v>2.543507582768973</v>
      </c>
      <c r="AB18">
        <f t="shared" ca="1" si="15"/>
        <v>3.1737992575184788</v>
      </c>
      <c r="AC18">
        <f t="shared" ca="1" si="16"/>
        <v>3.0961120541308236</v>
      </c>
      <c r="AD18">
        <f t="shared" ca="1" si="17"/>
        <v>2.8194304940164998</v>
      </c>
      <c r="AE18">
        <f t="shared" ca="1" si="18"/>
        <v>2.5323457226548927</v>
      </c>
      <c r="AF18">
        <f t="shared" ca="1" si="19"/>
        <v>2.6763567119626273</v>
      </c>
      <c r="AG18">
        <f t="shared" ca="1" si="20"/>
        <v>3.1102632310150979</v>
      </c>
      <c r="AH18">
        <f t="shared" ca="1" si="21"/>
        <v>2.868066393565317</v>
      </c>
      <c r="AI18">
        <f t="shared" ca="1" si="22"/>
        <v>3.3927972270848321</v>
      </c>
      <c r="AJ18">
        <f t="shared" ca="1" si="23"/>
        <v>2.3395714677897463</v>
      </c>
      <c r="AK18">
        <f t="shared" ca="1" si="24"/>
        <v>2.8079649644121121</v>
      </c>
      <c r="AL18">
        <f t="shared" ca="1" si="25"/>
        <v>2.9807077647757052</v>
      </c>
      <c r="AM18">
        <f t="shared" ca="1" si="26"/>
        <v>3.1572506134760565</v>
      </c>
      <c r="AN18">
        <f t="shared" ca="1" si="27"/>
        <v>2.936038453419247</v>
      </c>
      <c r="AO18">
        <f t="shared" ca="1" si="28"/>
        <v>2.6764495219340549</v>
      </c>
      <c r="AP18">
        <f t="shared" ca="1" si="29"/>
        <v>2.835241075523669</v>
      </c>
      <c r="AQ18">
        <f t="shared" ca="1" si="30"/>
        <v>2.470476190109181</v>
      </c>
      <c r="AR18">
        <f t="shared" ca="1" si="31"/>
        <v>3.2480836220843186</v>
      </c>
      <c r="AS18">
        <f t="shared" ca="1" si="32"/>
        <v>2.9866615662447287</v>
      </c>
      <c r="AT18">
        <f t="shared" ca="1" si="33"/>
        <v>3.4480760729618596</v>
      </c>
      <c r="AU18">
        <f t="shared" ca="1" si="34"/>
        <v>3.0079284814025486</v>
      </c>
      <c r="AV18">
        <f t="shared" ca="1" si="35"/>
        <v>3.0253457232294614</v>
      </c>
      <c r="AW18">
        <f t="shared" ca="1" si="36"/>
        <v>3.2800901257218129</v>
      </c>
      <c r="AX18">
        <f t="shared" ca="1" si="37"/>
        <v>2.7441323037445171</v>
      </c>
      <c r="AY18">
        <f t="shared" ca="1" si="38"/>
        <v>3.0558222792668097</v>
      </c>
      <c r="AZ18">
        <f t="shared" ca="1" si="39"/>
        <v>3.4229464986474896</v>
      </c>
    </row>
    <row r="19" spans="2:52" x14ac:dyDescent="0.35">
      <c r="B19" s="3">
        <v>45715</v>
      </c>
      <c r="C19" s="4">
        <v>378.75</v>
      </c>
      <c r="D19">
        <f t="shared" si="0"/>
        <v>-1.8465111966705834E-3</v>
      </c>
      <c r="L19" t="s">
        <v>114</v>
      </c>
      <c r="M19">
        <f t="shared" ca="1" si="40"/>
        <v>2.6190004350277185</v>
      </c>
      <c r="N19">
        <f t="shared" ca="1" si="41"/>
        <v>3.2117781401867131</v>
      </c>
      <c r="O19">
        <f t="shared" ca="1" si="2"/>
        <v>3.1679368899610605</v>
      </c>
      <c r="P19">
        <f t="shared" ca="1" si="3"/>
        <v>2.6881442886792457</v>
      </c>
      <c r="Q19">
        <f t="shared" ca="1" si="4"/>
        <v>2.6342761456709374</v>
      </c>
      <c r="R19">
        <f t="shared" ca="1" si="5"/>
        <v>3.2293375679208949</v>
      </c>
      <c r="S19">
        <f t="shared" ca="1" si="6"/>
        <v>2.3465090109343718</v>
      </c>
      <c r="T19">
        <f t="shared" ca="1" si="7"/>
        <v>3.2989911069485576</v>
      </c>
      <c r="U19">
        <f t="shared" ca="1" si="8"/>
        <v>3.0935569619201244</v>
      </c>
      <c r="V19">
        <f t="shared" ca="1" si="9"/>
        <v>2.948155547248775</v>
      </c>
      <c r="W19">
        <f t="shared" ca="1" si="10"/>
        <v>2.8132643671060009</v>
      </c>
      <c r="X19">
        <f t="shared" ca="1" si="11"/>
        <v>2.5999486028566112</v>
      </c>
      <c r="Y19">
        <f t="shared" ca="1" si="12"/>
        <v>2.9739565036729592</v>
      </c>
      <c r="Z19">
        <f t="shared" ca="1" si="13"/>
        <v>3.0124525866159124</v>
      </c>
      <c r="AA19">
        <f t="shared" ca="1" si="14"/>
        <v>2.4839991402440944</v>
      </c>
      <c r="AB19">
        <f t="shared" ca="1" si="15"/>
        <v>3.1696653154537637</v>
      </c>
      <c r="AC19">
        <f t="shared" ca="1" si="16"/>
        <v>3.0104982381702161</v>
      </c>
      <c r="AD19">
        <f t="shared" ca="1" si="17"/>
        <v>2.995615713980436</v>
      </c>
      <c r="AE19">
        <f t="shared" ca="1" si="18"/>
        <v>2.458790127153768</v>
      </c>
      <c r="AF19">
        <f t="shared" ca="1" si="19"/>
        <v>2.7120562073003232</v>
      </c>
      <c r="AG19">
        <f t="shared" ca="1" si="20"/>
        <v>3.0909430168720107</v>
      </c>
      <c r="AH19">
        <f t="shared" ca="1" si="21"/>
        <v>2.9050630524643006</v>
      </c>
      <c r="AI19">
        <f t="shared" ca="1" si="22"/>
        <v>3.4400888682778352</v>
      </c>
      <c r="AJ19">
        <f t="shared" ca="1" si="23"/>
        <v>2.2787664929324425</v>
      </c>
      <c r="AK19">
        <f t="shared" ca="1" si="24"/>
        <v>2.7645583740821937</v>
      </c>
      <c r="AL19">
        <f t="shared" ca="1" si="25"/>
        <v>2.9599912897743703</v>
      </c>
      <c r="AM19">
        <f t="shared" ca="1" si="26"/>
        <v>3.0025024597697865</v>
      </c>
      <c r="AN19">
        <f t="shared" ca="1" si="27"/>
        <v>2.9993583025591608</v>
      </c>
      <c r="AO19">
        <f t="shared" ca="1" si="28"/>
        <v>2.7089432921409089</v>
      </c>
      <c r="AP19">
        <f t="shared" ca="1" si="29"/>
        <v>2.7222804507527059</v>
      </c>
      <c r="AQ19">
        <f t="shared" ca="1" si="30"/>
        <v>2.4237192789116757</v>
      </c>
      <c r="AR19">
        <f t="shared" ca="1" si="31"/>
        <v>3.2535433343456086</v>
      </c>
      <c r="AS19">
        <f t="shared" ca="1" si="32"/>
        <v>3.0281842756989068</v>
      </c>
      <c r="AT19">
        <f t="shared" ca="1" si="33"/>
        <v>3.588825830226559</v>
      </c>
      <c r="AU19">
        <f t="shared" ca="1" si="34"/>
        <v>3.0496510288724519</v>
      </c>
      <c r="AV19">
        <f t="shared" ca="1" si="35"/>
        <v>3.0944044848593304</v>
      </c>
      <c r="AW19">
        <f t="shared" ca="1" si="36"/>
        <v>3.200555972758623</v>
      </c>
      <c r="AX19">
        <f t="shared" ca="1" si="37"/>
        <v>2.7846657506101624</v>
      </c>
      <c r="AY19">
        <f t="shared" ca="1" si="38"/>
        <v>3.0183293440663039</v>
      </c>
      <c r="AZ19">
        <f t="shared" ca="1" si="39"/>
        <v>3.2908134163310883</v>
      </c>
    </row>
    <row r="20" spans="2:52" x14ac:dyDescent="0.35">
      <c r="B20" s="3">
        <v>45716</v>
      </c>
      <c r="C20" s="4">
        <v>379.04998779296801</v>
      </c>
      <c r="D20">
        <f t="shared" si="0"/>
        <v>7.9173347445434157E-4</v>
      </c>
      <c r="L20" t="s">
        <v>115</v>
      </c>
      <c r="M20">
        <f t="shared" ca="1" si="40"/>
        <v>2.539924946945312</v>
      </c>
      <c r="N20">
        <f t="shared" ca="1" si="41"/>
        <v>3.2543931306293712</v>
      </c>
      <c r="O20">
        <f t="shared" ca="1" si="2"/>
        <v>3.1883128241678413</v>
      </c>
      <c r="P20">
        <f t="shared" ca="1" si="3"/>
        <v>2.7341547480539199</v>
      </c>
      <c r="Q20">
        <f t="shared" ca="1" si="4"/>
        <v>2.5719305688579435</v>
      </c>
      <c r="R20">
        <f t="shared" ca="1" si="5"/>
        <v>3.2924023870724839</v>
      </c>
      <c r="S20">
        <f t="shared" ca="1" si="6"/>
        <v>2.1559975845744295</v>
      </c>
      <c r="T20">
        <f t="shared" ca="1" si="7"/>
        <v>3.3751833430762526</v>
      </c>
      <c r="U20">
        <f t="shared" ca="1" si="8"/>
        <v>3.0767115799679297</v>
      </c>
      <c r="V20">
        <f t="shared" ca="1" si="9"/>
        <v>2.9193531980993419</v>
      </c>
      <c r="W20">
        <f t="shared" ca="1" si="10"/>
        <v>2.9140245989290778</v>
      </c>
      <c r="X20">
        <f t="shared" ca="1" si="11"/>
        <v>2.5857982933822772</v>
      </c>
      <c r="Y20">
        <f t="shared" ca="1" si="12"/>
        <v>2.8983122135522938</v>
      </c>
      <c r="Z20">
        <f t="shared" ca="1" si="13"/>
        <v>3.1216030439395728</v>
      </c>
      <c r="AA20">
        <f t="shared" ca="1" si="14"/>
        <v>2.5234281075553002</v>
      </c>
      <c r="AB20">
        <f t="shared" ca="1" si="15"/>
        <v>3.1351260645530798</v>
      </c>
      <c r="AC20">
        <f t="shared" ca="1" si="16"/>
        <v>2.9485996254602509</v>
      </c>
      <c r="AD20">
        <f t="shared" ca="1" si="17"/>
        <v>2.7995332376431321</v>
      </c>
      <c r="AE20">
        <f t="shared" ca="1" si="18"/>
        <v>2.5388537384563619</v>
      </c>
      <c r="AF20">
        <f t="shared" ca="1" si="19"/>
        <v>2.6775342274960674</v>
      </c>
      <c r="AG20">
        <f t="shared" ca="1" si="20"/>
        <v>3.2433196630490424</v>
      </c>
      <c r="AH20">
        <f t="shared" ca="1" si="21"/>
        <v>2.7936271794922072</v>
      </c>
      <c r="AI20">
        <f t="shared" ca="1" si="22"/>
        <v>3.4636394122782059</v>
      </c>
      <c r="AJ20">
        <f t="shared" ca="1" si="23"/>
        <v>2.2964335259411248</v>
      </c>
      <c r="AK20">
        <f t="shared" ca="1" si="24"/>
        <v>2.7126803696343003</v>
      </c>
      <c r="AL20">
        <f t="shared" ca="1" si="25"/>
        <v>2.9528749918610062</v>
      </c>
      <c r="AM20">
        <f t="shared" ca="1" si="26"/>
        <v>2.9948785427296101</v>
      </c>
      <c r="AN20">
        <f t="shared" ca="1" si="27"/>
        <v>2.9582738874159467</v>
      </c>
      <c r="AO20">
        <f t="shared" ca="1" si="28"/>
        <v>2.7556575190249468</v>
      </c>
      <c r="AP20">
        <f t="shared" ca="1" si="29"/>
        <v>2.7089947397705281</v>
      </c>
      <c r="AQ20">
        <f t="shared" ca="1" si="30"/>
        <v>2.4719007368794714</v>
      </c>
      <c r="AR20">
        <f t="shared" ca="1" si="31"/>
        <v>3.2053889994369169</v>
      </c>
      <c r="AS20">
        <f t="shared" ca="1" si="32"/>
        <v>3.2141026235808141</v>
      </c>
      <c r="AT20">
        <f t="shared" ca="1" si="33"/>
        <v>3.5253137182741039</v>
      </c>
      <c r="AU20">
        <f t="shared" ca="1" si="34"/>
        <v>3.0154610582915131</v>
      </c>
      <c r="AV20">
        <f t="shared" ca="1" si="35"/>
        <v>3.1183573594685097</v>
      </c>
      <c r="AW20">
        <f t="shared" ca="1" si="36"/>
        <v>3.1398025581678981</v>
      </c>
      <c r="AX20">
        <f t="shared" ca="1" si="37"/>
        <v>2.7424402108640922</v>
      </c>
      <c r="AY20">
        <f t="shared" ca="1" si="38"/>
        <v>3.0314434731580215</v>
      </c>
      <c r="AZ20">
        <f t="shared" ca="1" si="39"/>
        <v>3.3091688381039313</v>
      </c>
    </row>
    <row r="21" spans="2:52" x14ac:dyDescent="0.35">
      <c r="B21" s="3">
        <v>45719</v>
      </c>
      <c r="C21" s="4">
        <v>392.70001220703102</v>
      </c>
      <c r="D21">
        <f t="shared" si="0"/>
        <v>3.5377902370806763E-2</v>
      </c>
      <c r="L21" t="s">
        <v>116</v>
      </c>
      <c r="M21">
        <f t="shared" ca="1" si="40"/>
        <v>2.5594454836996552</v>
      </c>
      <c r="N21">
        <f t="shared" ca="1" si="41"/>
        <v>3.1344137391768263</v>
      </c>
      <c r="O21">
        <f t="shared" ca="1" si="2"/>
        <v>3.4578232904878576</v>
      </c>
      <c r="P21">
        <f t="shared" ca="1" si="3"/>
        <v>2.7429059413156502</v>
      </c>
      <c r="Q21">
        <f t="shared" ca="1" si="4"/>
        <v>2.4854017164925564</v>
      </c>
      <c r="R21">
        <f t="shared" ca="1" si="5"/>
        <v>3.3875164725896036</v>
      </c>
      <c r="S21">
        <f t="shared" ca="1" si="6"/>
        <v>2.1710683454227562</v>
      </c>
      <c r="T21">
        <f t="shared" ca="1" si="7"/>
        <v>3.4608836080697016</v>
      </c>
      <c r="U21">
        <f t="shared" ca="1" si="8"/>
        <v>3.2609445734390858</v>
      </c>
      <c r="V21">
        <f t="shared" ca="1" si="9"/>
        <v>2.9914520962441999</v>
      </c>
      <c r="W21">
        <f t="shared" ca="1" si="10"/>
        <v>2.9167802291374509</v>
      </c>
      <c r="X21">
        <f t="shared" ca="1" si="11"/>
        <v>2.5031828963902059</v>
      </c>
      <c r="Y21">
        <f t="shared" ca="1" si="12"/>
        <v>2.9632938064677248</v>
      </c>
      <c r="Z21">
        <f t="shared" ca="1" si="13"/>
        <v>3.1837072366603034</v>
      </c>
      <c r="AA21">
        <f t="shared" ca="1" si="14"/>
        <v>2.3810037195033207</v>
      </c>
      <c r="AB21">
        <f t="shared" ca="1" si="15"/>
        <v>3.2142111605176917</v>
      </c>
      <c r="AC21">
        <f t="shared" ca="1" si="16"/>
        <v>2.8891445215341833</v>
      </c>
      <c r="AD21">
        <f t="shared" ca="1" si="17"/>
        <v>2.8102710364874302</v>
      </c>
      <c r="AE21">
        <f t="shared" ca="1" si="18"/>
        <v>2.6423330967422194</v>
      </c>
      <c r="AF21">
        <f t="shared" ca="1" si="19"/>
        <v>2.5977778246091772</v>
      </c>
      <c r="AG21">
        <f t="shared" ca="1" si="20"/>
        <v>3.3553952752769987</v>
      </c>
      <c r="AH21">
        <f t="shared" ca="1" si="21"/>
        <v>2.8160220015290798</v>
      </c>
      <c r="AI21">
        <f t="shared" ca="1" si="22"/>
        <v>3.3863916980186266</v>
      </c>
      <c r="AJ21">
        <f t="shared" ca="1" si="23"/>
        <v>2.3932378462135495</v>
      </c>
      <c r="AK21">
        <f t="shared" ca="1" si="24"/>
        <v>2.7236849737693087</v>
      </c>
      <c r="AL21">
        <f t="shared" ca="1" si="25"/>
        <v>2.9962339440701911</v>
      </c>
      <c r="AM21">
        <f t="shared" ca="1" si="26"/>
        <v>3.0896164017745456</v>
      </c>
      <c r="AN21">
        <f t="shared" ca="1" si="27"/>
        <v>2.9389167837819534</v>
      </c>
      <c r="AO21">
        <f t="shared" ca="1" si="28"/>
        <v>2.6718254576564298</v>
      </c>
      <c r="AP21">
        <f t="shared" ca="1" si="29"/>
        <v>2.7505462138022958</v>
      </c>
      <c r="AQ21">
        <f t="shared" ca="1" si="30"/>
        <v>2.4283861653527485</v>
      </c>
      <c r="AR21">
        <f t="shared" ca="1" si="31"/>
        <v>3.1620258058835602</v>
      </c>
      <c r="AS21">
        <f t="shared" ca="1" si="32"/>
        <v>3.143714971332527</v>
      </c>
      <c r="AT21">
        <f t="shared" ca="1" si="33"/>
        <v>3.5494268267464646</v>
      </c>
      <c r="AU21">
        <f t="shared" ca="1" si="34"/>
        <v>2.9531452166040855</v>
      </c>
      <c r="AV21">
        <f t="shared" ca="1" si="35"/>
        <v>3.2486883497666033</v>
      </c>
      <c r="AW21">
        <f t="shared" ca="1" si="36"/>
        <v>3.0311105227812241</v>
      </c>
      <c r="AX21">
        <f t="shared" ca="1" si="37"/>
        <v>2.790386804570347</v>
      </c>
      <c r="AY21">
        <f t="shared" ca="1" si="38"/>
        <v>3.0792530885547889</v>
      </c>
      <c r="AZ21">
        <f t="shared" ca="1" si="39"/>
        <v>3.3315087625753161</v>
      </c>
    </row>
    <row r="22" spans="2:52" x14ac:dyDescent="0.35">
      <c r="B22" s="3">
        <v>45720</v>
      </c>
      <c r="C22" s="4">
        <v>403.75</v>
      </c>
      <c r="D22">
        <f t="shared" si="0"/>
        <v>2.774988186802629E-2</v>
      </c>
      <c r="L22" t="s">
        <v>117</v>
      </c>
      <c r="M22">
        <f t="shared" ca="1" si="40"/>
        <v>2.5962020414391498</v>
      </c>
      <c r="N22">
        <f t="shared" ca="1" si="41"/>
        <v>3.0940476036211422</v>
      </c>
      <c r="O22">
        <f t="shared" ca="1" si="2"/>
        <v>3.532855156400077</v>
      </c>
      <c r="P22">
        <f t="shared" ca="1" si="3"/>
        <v>2.7342084856040225</v>
      </c>
      <c r="Q22">
        <f t="shared" ca="1" si="4"/>
        <v>2.5430912526018883</v>
      </c>
      <c r="R22">
        <f t="shared" ca="1" si="5"/>
        <v>3.383551445220744</v>
      </c>
      <c r="S22">
        <f t="shared" ca="1" si="6"/>
        <v>2.1279618545842593</v>
      </c>
      <c r="T22">
        <f t="shared" ca="1" si="7"/>
        <v>3.4321857166814578</v>
      </c>
      <c r="U22">
        <f t="shared" ca="1" si="8"/>
        <v>3.2507601692318189</v>
      </c>
      <c r="V22">
        <f t="shared" ca="1" si="9"/>
        <v>2.9986196721432115</v>
      </c>
      <c r="W22">
        <f t="shared" ca="1" si="10"/>
        <v>2.8978598154097637</v>
      </c>
      <c r="X22">
        <f t="shared" ca="1" si="11"/>
        <v>2.5416486734524999</v>
      </c>
      <c r="Y22">
        <f t="shared" ca="1" si="12"/>
        <v>2.827206613831966</v>
      </c>
      <c r="Z22">
        <f t="shared" ca="1" si="13"/>
        <v>3.2487497436806776</v>
      </c>
      <c r="AA22">
        <f t="shared" ca="1" si="14"/>
        <v>2.4127490914835126</v>
      </c>
      <c r="AB22">
        <f t="shared" ca="1" si="15"/>
        <v>3.1910216116560437</v>
      </c>
      <c r="AC22">
        <f t="shared" ca="1" si="16"/>
        <v>2.913824968680788</v>
      </c>
      <c r="AD22">
        <f t="shared" ca="1" si="17"/>
        <v>2.7149596184180624</v>
      </c>
      <c r="AE22">
        <f t="shared" ca="1" si="18"/>
        <v>2.6862214660038721</v>
      </c>
      <c r="AF22">
        <f t="shared" ca="1" si="19"/>
        <v>2.5375649558810784</v>
      </c>
      <c r="AG22">
        <f t="shared" ca="1" si="20"/>
        <v>3.2737188653842133</v>
      </c>
      <c r="AH22">
        <f t="shared" ca="1" si="21"/>
        <v>2.8102583782995261</v>
      </c>
      <c r="AI22">
        <f t="shared" ca="1" si="22"/>
        <v>3.4190756925362447</v>
      </c>
      <c r="AJ22">
        <f t="shared" ca="1" si="23"/>
        <v>2.425151935950058</v>
      </c>
      <c r="AK22">
        <f t="shared" ca="1" si="24"/>
        <v>2.6314027996141611</v>
      </c>
      <c r="AL22">
        <f t="shared" ca="1" si="25"/>
        <v>3.0454143774664084</v>
      </c>
      <c r="AM22">
        <f t="shared" ca="1" si="26"/>
        <v>3.1043158687897812</v>
      </c>
      <c r="AN22">
        <f t="shared" ca="1" si="27"/>
        <v>2.7487490207748793</v>
      </c>
      <c r="AO22">
        <f t="shared" ca="1" si="28"/>
        <v>2.6821285265140742</v>
      </c>
      <c r="AP22">
        <f t="shared" ca="1" si="29"/>
        <v>2.6855214676869541</v>
      </c>
      <c r="AQ22">
        <f t="shared" ca="1" si="30"/>
        <v>2.4066698975328609</v>
      </c>
      <c r="AR22">
        <f t="shared" ca="1" si="31"/>
        <v>3.1606529742369447</v>
      </c>
      <c r="AS22">
        <f t="shared" ca="1" si="32"/>
        <v>3.1460983544503178</v>
      </c>
      <c r="AT22">
        <f t="shared" ca="1" si="33"/>
        <v>3.7217410301530811</v>
      </c>
      <c r="AU22">
        <f t="shared" ca="1" si="34"/>
        <v>2.9670502559654803</v>
      </c>
      <c r="AV22">
        <f t="shared" ca="1" si="35"/>
        <v>3.2833344853107285</v>
      </c>
      <c r="AW22">
        <f t="shared" ca="1" si="36"/>
        <v>3.0952680563462884</v>
      </c>
      <c r="AX22">
        <f t="shared" ca="1" si="37"/>
        <v>2.8596681190855651</v>
      </c>
      <c r="AY22">
        <f t="shared" ca="1" si="38"/>
        <v>2.9640884459280676</v>
      </c>
      <c r="AZ22">
        <f t="shared" ca="1" si="39"/>
        <v>3.3444761262010476</v>
      </c>
    </row>
    <row r="23" spans="2:52" x14ac:dyDescent="0.35">
      <c r="B23" s="3">
        <v>45721</v>
      </c>
      <c r="C23" s="4">
        <v>415.5</v>
      </c>
      <c r="D23">
        <f t="shared" si="0"/>
        <v>2.8686739758636611E-2</v>
      </c>
      <c r="L23" t="s">
        <v>118</v>
      </c>
      <c r="M23">
        <f t="shared" ca="1" si="40"/>
        <v>2.4953954910015708</v>
      </c>
      <c r="N23">
        <f t="shared" ca="1" si="41"/>
        <v>3.1814227303552332</v>
      </c>
      <c r="O23">
        <f t="shared" ca="1" si="2"/>
        <v>3.4122731332911496</v>
      </c>
      <c r="P23">
        <f t="shared" ca="1" si="3"/>
        <v>2.7831721377119112</v>
      </c>
      <c r="Q23">
        <f t="shared" ca="1" si="4"/>
        <v>2.5212808842662113</v>
      </c>
      <c r="R23">
        <f t="shared" ca="1" si="5"/>
        <v>3.5110992991946688</v>
      </c>
      <c r="S23">
        <f t="shared" ca="1" si="6"/>
        <v>2.0503321175493405</v>
      </c>
      <c r="T23">
        <f t="shared" ca="1" si="7"/>
        <v>3.4988910443305423</v>
      </c>
      <c r="U23">
        <f t="shared" ca="1" si="8"/>
        <v>3.2960897758516765</v>
      </c>
      <c r="V23">
        <f t="shared" ca="1" si="9"/>
        <v>2.9868632994368265</v>
      </c>
      <c r="W23">
        <f t="shared" ca="1" si="10"/>
        <v>3.0275216059372445</v>
      </c>
      <c r="X23">
        <f t="shared" ca="1" si="11"/>
        <v>2.4589542730994491</v>
      </c>
      <c r="Y23">
        <f t="shared" ca="1" si="12"/>
        <v>2.7976932968754076</v>
      </c>
      <c r="Z23">
        <f t="shared" ca="1" si="13"/>
        <v>3.2572920102357927</v>
      </c>
      <c r="AA23">
        <f t="shared" ca="1" si="14"/>
        <v>2.4292146202311167</v>
      </c>
      <c r="AB23">
        <f t="shared" ca="1" si="15"/>
        <v>3.2682712587775828</v>
      </c>
      <c r="AC23">
        <f t="shared" ca="1" si="16"/>
        <v>2.977455327409523</v>
      </c>
      <c r="AD23">
        <f t="shared" ca="1" si="17"/>
        <v>2.7268685692369234</v>
      </c>
      <c r="AE23">
        <f t="shared" ca="1" si="18"/>
        <v>2.5495365527739051</v>
      </c>
      <c r="AF23">
        <f t="shared" ca="1" si="19"/>
        <v>2.6251868091060127</v>
      </c>
      <c r="AG23">
        <f t="shared" ca="1" si="20"/>
        <v>3.3014882650878508</v>
      </c>
      <c r="AH23">
        <f t="shared" ca="1" si="21"/>
        <v>2.8778965594491925</v>
      </c>
      <c r="AI23">
        <f t="shared" ca="1" si="22"/>
        <v>3.5168556824503945</v>
      </c>
      <c r="AJ23">
        <f t="shared" ca="1" si="23"/>
        <v>2.4714663233563066</v>
      </c>
      <c r="AK23">
        <f t="shared" ca="1" si="24"/>
        <v>2.5726800367113074</v>
      </c>
      <c r="AL23">
        <f t="shared" ca="1" si="25"/>
        <v>3.0474015148637976</v>
      </c>
      <c r="AM23">
        <f t="shared" ca="1" si="26"/>
        <v>3.1523915311207613</v>
      </c>
      <c r="AN23">
        <f t="shared" ca="1" si="27"/>
        <v>2.7810835460910659</v>
      </c>
      <c r="AO23">
        <f t="shared" ca="1" si="28"/>
        <v>2.6224075112671961</v>
      </c>
      <c r="AP23">
        <f t="shared" ca="1" si="29"/>
        <v>2.7167197899832569</v>
      </c>
      <c r="AQ23">
        <f t="shared" ca="1" si="30"/>
        <v>2.4394978167592436</v>
      </c>
      <c r="AR23">
        <f t="shared" ca="1" si="31"/>
        <v>3.0957301021490267</v>
      </c>
      <c r="AS23">
        <f t="shared" ca="1" si="32"/>
        <v>3.131162917100816</v>
      </c>
      <c r="AT23">
        <f t="shared" ca="1" si="33"/>
        <v>3.7847645063096125</v>
      </c>
      <c r="AU23">
        <f t="shared" ca="1" si="34"/>
        <v>2.8645138429452413</v>
      </c>
      <c r="AV23">
        <f t="shared" ca="1" si="35"/>
        <v>3.3580096673843651</v>
      </c>
      <c r="AW23">
        <f t="shared" ca="1" si="36"/>
        <v>3.0539560741734886</v>
      </c>
      <c r="AX23">
        <f t="shared" ca="1" si="37"/>
        <v>2.9090368992751006</v>
      </c>
      <c r="AY23">
        <f t="shared" ca="1" si="38"/>
        <v>3.0267567712155059</v>
      </c>
      <c r="AZ23">
        <f t="shared" ca="1" si="39"/>
        <v>3.2281107016959241</v>
      </c>
    </row>
    <row r="24" spans="2:52" x14ac:dyDescent="0.35">
      <c r="B24" s="3">
        <v>45722</v>
      </c>
      <c r="C24" s="4">
        <v>393</v>
      </c>
      <c r="D24">
        <f t="shared" si="0"/>
        <v>-5.5673002426241638E-2</v>
      </c>
      <c r="L24" t="s">
        <v>119</v>
      </c>
      <c r="M24">
        <f t="shared" ca="1" si="40"/>
        <v>2.5368364917367288</v>
      </c>
      <c r="N24">
        <f t="shared" ca="1" si="41"/>
        <v>3.1284234751983089</v>
      </c>
      <c r="O24">
        <f t="shared" ca="1" si="2"/>
        <v>3.4660323027744031</v>
      </c>
      <c r="P24">
        <f t="shared" ca="1" si="3"/>
        <v>2.7005673856776826</v>
      </c>
      <c r="Q24">
        <f t="shared" ca="1" si="4"/>
        <v>2.4977300659786601</v>
      </c>
      <c r="R24">
        <f t="shared" ca="1" si="5"/>
        <v>3.5968386279670943</v>
      </c>
      <c r="S24">
        <f t="shared" ca="1" si="6"/>
        <v>2.0298746378156745</v>
      </c>
      <c r="T24">
        <f t="shared" ca="1" si="7"/>
        <v>3.5556734658822555</v>
      </c>
      <c r="U24">
        <f t="shared" ca="1" si="8"/>
        <v>3.1298439686114925</v>
      </c>
      <c r="V24">
        <f t="shared" ca="1" si="9"/>
        <v>2.9071028941418269</v>
      </c>
      <c r="W24">
        <f t="shared" ca="1" si="10"/>
        <v>3.1479649607453752</v>
      </c>
      <c r="X24">
        <f t="shared" ca="1" si="11"/>
        <v>2.4341550912036238</v>
      </c>
      <c r="Y24">
        <f t="shared" ca="1" si="12"/>
        <v>2.9959860723279923</v>
      </c>
      <c r="Z24">
        <f t="shared" ca="1" si="13"/>
        <v>3.3180904659541186</v>
      </c>
      <c r="AA24">
        <f t="shared" ca="1" si="14"/>
        <v>2.3718864021585948</v>
      </c>
      <c r="AB24">
        <f t="shared" ca="1" si="15"/>
        <v>3.2662198829327842</v>
      </c>
      <c r="AC24">
        <f t="shared" ca="1" si="16"/>
        <v>2.8480299975095829</v>
      </c>
      <c r="AD24">
        <f t="shared" ca="1" si="17"/>
        <v>2.8260846889578435</v>
      </c>
      <c r="AE24">
        <f t="shared" ca="1" si="18"/>
        <v>2.5714704315262198</v>
      </c>
      <c r="AF24">
        <f t="shared" ca="1" si="19"/>
        <v>2.6200262110550128</v>
      </c>
      <c r="AG24">
        <f t="shared" ca="1" si="20"/>
        <v>3.3312563361788992</v>
      </c>
      <c r="AH24">
        <f t="shared" ca="1" si="21"/>
        <v>2.8649930513276538</v>
      </c>
      <c r="AI24">
        <f t="shared" ca="1" si="22"/>
        <v>3.4774247425136924</v>
      </c>
      <c r="AJ24">
        <f t="shared" ca="1" si="23"/>
        <v>2.4048191045133853</v>
      </c>
      <c r="AK24">
        <f t="shared" ca="1" si="24"/>
        <v>2.5910562909451729</v>
      </c>
      <c r="AL24">
        <f t="shared" ca="1" si="25"/>
        <v>3.0327923316857084</v>
      </c>
      <c r="AM24">
        <f t="shared" ca="1" si="26"/>
        <v>3.1638366785138317</v>
      </c>
      <c r="AN24">
        <f t="shared" ca="1" si="27"/>
        <v>2.7115578191523886</v>
      </c>
      <c r="AO24">
        <f t="shared" ca="1" si="28"/>
        <v>2.5905259565465641</v>
      </c>
      <c r="AP24">
        <f t="shared" ca="1" si="29"/>
        <v>2.7298094492800811</v>
      </c>
      <c r="AQ24">
        <f t="shared" ca="1" si="30"/>
        <v>2.496703414902445</v>
      </c>
      <c r="AR24">
        <f t="shared" ca="1" si="31"/>
        <v>2.922450920610129</v>
      </c>
      <c r="AS24">
        <f t="shared" ca="1" si="32"/>
        <v>3.1198440111692598</v>
      </c>
      <c r="AT24">
        <f t="shared" ca="1" si="33"/>
        <v>3.7907425668448642</v>
      </c>
      <c r="AU24">
        <f t="shared" ca="1" si="34"/>
        <v>2.7570651333478504</v>
      </c>
      <c r="AV24">
        <f t="shared" ca="1" si="35"/>
        <v>3.3402864944537538</v>
      </c>
      <c r="AW24">
        <f t="shared" ca="1" si="36"/>
        <v>3.1110833929929256</v>
      </c>
      <c r="AX24">
        <f t="shared" ca="1" si="37"/>
        <v>2.9244721980090129</v>
      </c>
      <c r="AY24">
        <f t="shared" ca="1" si="38"/>
        <v>2.9109665236554494</v>
      </c>
      <c r="AZ24">
        <f t="shared" ca="1" si="39"/>
        <v>3.345547181495776</v>
      </c>
    </row>
    <row r="25" spans="2:52" x14ac:dyDescent="0.35">
      <c r="B25" s="3">
        <v>45723</v>
      </c>
      <c r="C25" s="4">
        <v>390.20001220703102</v>
      </c>
      <c r="D25">
        <f t="shared" si="0"/>
        <v>-7.1501523962144891E-3</v>
      </c>
      <c r="L25" t="s">
        <v>120</v>
      </c>
      <c r="M25">
        <f t="shared" ca="1" si="40"/>
        <v>2.5488704018773345</v>
      </c>
      <c r="N25">
        <f t="shared" ca="1" si="41"/>
        <v>2.9960215164338817</v>
      </c>
      <c r="O25">
        <f t="shared" ca="1" si="2"/>
        <v>3.5362550627400546</v>
      </c>
      <c r="P25">
        <f t="shared" ca="1" si="3"/>
        <v>2.669558936597928</v>
      </c>
      <c r="Q25">
        <f t="shared" ca="1" si="4"/>
        <v>2.4434874474540913</v>
      </c>
      <c r="R25">
        <f t="shared" ca="1" si="5"/>
        <v>3.6036128253716995</v>
      </c>
      <c r="S25">
        <f t="shared" ca="1" si="6"/>
        <v>1.9998720703674617</v>
      </c>
      <c r="T25">
        <f t="shared" ca="1" si="7"/>
        <v>3.4272922821572434</v>
      </c>
      <c r="U25">
        <f t="shared" ca="1" si="8"/>
        <v>3.18717537555646</v>
      </c>
      <c r="V25">
        <f t="shared" ca="1" si="9"/>
        <v>2.8644757626137953</v>
      </c>
      <c r="W25">
        <f t="shared" ca="1" si="10"/>
        <v>3.1140757034891915</v>
      </c>
      <c r="X25">
        <f t="shared" ca="1" si="11"/>
        <v>2.4944795092351044</v>
      </c>
      <c r="Y25">
        <f t="shared" ca="1" si="12"/>
        <v>2.9509142685477943</v>
      </c>
      <c r="Z25">
        <f t="shared" ca="1" si="13"/>
        <v>3.3205347133535001</v>
      </c>
      <c r="AA25">
        <f t="shared" ca="1" si="14"/>
        <v>2.2676609628606839</v>
      </c>
      <c r="AB25">
        <f t="shared" ca="1" si="15"/>
        <v>3.2137023177458408</v>
      </c>
      <c r="AC25">
        <f t="shared" ca="1" si="16"/>
        <v>2.8710067929282319</v>
      </c>
      <c r="AD25">
        <f t="shared" ca="1" si="17"/>
        <v>2.6382536981957911</v>
      </c>
      <c r="AE25">
        <f t="shared" ca="1" si="18"/>
        <v>2.516249707531772</v>
      </c>
      <c r="AF25">
        <f t="shared" ca="1" si="19"/>
        <v>2.5966217167351395</v>
      </c>
      <c r="AG25">
        <f t="shared" ca="1" si="20"/>
        <v>3.3441385571843401</v>
      </c>
      <c r="AH25">
        <f t="shared" ca="1" si="21"/>
        <v>2.9286503470165948</v>
      </c>
      <c r="AI25">
        <f t="shared" ca="1" si="22"/>
        <v>3.5200182967177924</v>
      </c>
      <c r="AJ25">
        <f t="shared" ca="1" si="23"/>
        <v>2.410394397196931</v>
      </c>
      <c r="AK25">
        <f t="shared" ca="1" si="24"/>
        <v>2.6349636454526615</v>
      </c>
      <c r="AL25">
        <f t="shared" ca="1" si="25"/>
        <v>3.0698914669455437</v>
      </c>
      <c r="AM25">
        <f t="shared" ca="1" si="26"/>
        <v>3.205033498324267</v>
      </c>
      <c r="AN25">
        <f t="shared" ca="1" si="27"/>
        <v>2.793837062646487</v>
      </c>
      <c r="AO25">
        <f t="shared" ca="1" si="28"/>
        <v>2.5898573265851783</v>
      </c>
      <c r="AP25">
        <f t="shared" ca="1" si="29"/>
        <v>2.8541448247385452</v>
      </c>
      <c r="AQ25">
        <f t="shared" ca="1" si="30"/>
        <v>2.416364909051298</v>
      </c>
      <c r="AR25">
        <f t="shared" ca="1" si="31"/>
        <v>2.8991098812919796</v>
      </c>
      <c r="AS25">
        <f t="shared" ca="1" si="32"/>
        <v>2.9916122709402964</v>
      </c>
      <c r="AT25">
        <f t="shared" ca="1" si="33"/>
        <v>3.790432812654795</v>
      </c>
      <c r="AU25">
        <f t="shared" ca="1" si="34"/>
        <v>2.739081081108961</v>
      </c>
      <c r="AV25">
        <f t="shared" ca="1" si="35"/>
        <v>3.4573468917300074</v>
      </c>
      <c r="AW25">
        <f t="shared" ca="1" si="36"/>
        <v>3.2300956410474448</v>
      </c>
      <c r="AX25">
        <f t="shared" ca="1" si="37"/>
        <v>2.9736456782053069</v>
      </c>
      <c r="AY25">
        <f t="shared" ca="1" si="38"/>
        <v>2.9218444854334478</v>
      </c>
      <c r="AZ25">
        <f t="shared" ca="1" si="39"/>
        <v>3.5217358330613209</v>
      </c>
    </row>
    <row r="26" spans="2:52" x14ac:dyDescent="0.35">
      <c r="B26" s="3">
        <v>45726</v>
      </c>
      <c r="C26" s="4">
        <v>389.350006103515</v>
      </c>
      <c r="D26">
        <f t="shared" si="0"/>
        <v>-2.1807617738864105E-3</v>
      </c>
      <c r="L26" t="s">
        <v>121</v>
      </c>
      <c r="M26">
        <f t="shared" ca="1" si="40"/>
        <v>2.4703351525521309</v>
      </c>
      <c r="N26">
        <f t="shared" ca="1" si="41"/>
        <v>3.0475578278136348</v>
      </c>
      <c r="O26">
        <f t="shared" ca="1" si="2"/>
        <v>3.5100097100656518</v>
      </c>
      <c r="P26">
        <f t="shared" ca="1" si="3"/>
        <v>2.6478308862421387</v>
      </c>
      <c r="Q26">
        <f t="shared" ca="1" si="4"/>
        <v>2.4976323920220009</v>
      </c>
      <c r="R26">
        <f t="shared" ca="1" si="5"/>
        <v>3.4875511237954164</v>
      </c>
      <c r="S26">
        <f t="shared" ca="1" si="6"/>
        <v>2.067632301952548</v>
      </c>
      <c r="T26">
        <f t="shared" ca="1" si="7"/>
        <v>3.3347433996713627</v>
      </c>
      <c r="U26">
        <f t="shared" ca="1" si="8"/>
        <v>3.130018177200967</v>
      </c>
      <c r="V26">
        <f t="shared" ca="1" si="9"/>
        <v>2.8808577309893479</v>
      </c>
      <c r="W26">
        <f t="shared" ca="1" si="10"/>
        <v>3.1394548383849794</v>
      </c>
      <c r="X26">
        <f t="shared" ca="1" si="11"/>
        <v>2.5415281630762174</v>
      </c>
      <c r="Y26">
        <f t="shared" ca="1" si="12"/>
        <v>2.8761336645088376</v>
      </c>
      <c r="Z26">
        <f t="shared" ca="1" si="13"/>
        <v>3.3117047645425264</v>
      </c>
      <c r="AA26">
        <f t="shared" ca="1" si="14"/>
        <v>2.2585862988631216</v>
      </c>
      <c r="AB26">
        <f t="shared" ca="1" si="15"/>
        <v>3.1741497734293933</v>
      </c>
      <c r="AC26">
        <f t="shared" ca="1" si="16"/>
        <v>2.9001785671937794</v>
      </c>
      <c r="AD26">
        <f t="shared" ca="1" si="17"/>
        <v>2.6981601145551068</v>
      </c>
      <c r="AE26">
        <f t="shared" ca="1" si="18"/>
        <v>2.5046185646186503</v>
      </c>
      <c r="AF26">
        <f t="shared" ca="1" si="19"/>
        <v>2.7811867141725188</v>
      </c>
      <c r="AG26">
        <f t="shared" ca="1" si="20"/>
        <v>3.3866052419643782</v>
      </c>
      <c r="AH26">
        <f t="shared" ca="1" si="21"/>
        <v>2.8988488454658841</v>
      </c>
      <c r="AI26">
        <f t="shared" ca="1" si="22"/>
        <v>3.4850448466675736</v>
      </c>
      <c r="AJ26">
        <f t="shared" ca="1" si="23"/>
        <v>2.4127607083669766</v>
      </c>
      <c r="AK26">
        <f t="shared" ca="1" si="24"/>
        <v>2.60028827322897</v>
      </c>
      <c r="AL26">
        <f t="shared" ca="1" si="25"/>
        <v>3.1205628151761093</v>
      </c>
      <c r="AM26">
        <f t="shared" ca="1" si="26"/>
        <v>3.3111177145106496</v>
      </c>
      <c r="AN26">
        <f t="shared" ca="1" si="27"/>
        <v>2.773706576125246</v>
      </c>
      <c r="AO26">
        <f t="shared" ca="1" si="28"/>
        <v>2.5686345093781671</v>
      </c>
      <c r="AP26">
        <f t="shared" ca="1" si="29"/>
        <v>2.8734207063655957</v>
      </c>
      <c r="AQ26">
        <f t="shared" ca="1" si="30"/>
        <v>2.4126339884209864</v>
      </c>
      <c r="AR26">
        <f t="shared" ca="1" si="31"/>
        <v>2.869923483347101</v>
      </c>
      <c r="AS26">
        <f t="shared" ca="1" si="32"/>
        <v>3.1415579531173194</v>
      </c>
      <c r="AT26">
        <f t="shared" ca="1" si="33"/>
        <v>3.7965563766704404</v>
      </c>
      <c r="AU26">
        <f t="shared" ca="1" si="34"/>
        <v>2.7655092167147424</v>
      </c>
      <c r="AV26">
        <f t="shared" ca="1" si="35"/>
        <v>3.5990922306309656</v>
      </c>
      <c r="AW26">
        <f t="shared" ca="1" si="36"/>
        <v>3.2240684034125464</v>
      </c>
      <c r="AX26">
        <f t="shared" ca="1" si="37"/>
        <v>2.9477972502547067</v>
      </c>
      <c r="AY26">
        <f t="shared" ca="1" si="38"/>
        <v>2.9671839927147854</v>
      </c>
      <c r="AZ26">
        <f t="shared" ca="1" si="39"/>
        <v>3.388426801471907</v>
      </c>
    </row>
    <row r="27" spans="2:52" x14ac:dyDescent="0.35">
      <c r="B27" s="3">
        <v>45727</v>
      </c>
      <c r="C27" s="4">
        <v>399.45001220703102</v>
      </c>
      <c r="D27">
        <f t="shared" si="0"/>
        <v>2.5609933788487103E-2</v>
      </c>
      <c r="L27" t="s">
        <v>122</v>
      </c>
      <c r="M27">
        <f t="shared" ca="1" si="40"/>
        <v>2.5099419339271662</v>
      </c>
      <c r="N27">
        <f t="shared" ca="1" si="41"/>
        <v>3.0328290767993353</v>
      </c>
      <c r="O27">
        <f t="shared" ca="1" si="2"/>
        <v>3.5063270316331883</v>
      </c>
      <c r="P27">
        <f t="shared" ca="1" si="3"/>
        <v>2.6642260862031857</v>
      </c>
      <c r="Q27">
        <f t="shared" ca="1" si="4"/>
        <v>2.4891254504950431</v>
      </c>
      <c r="R27">
        <f t="shared" ca="1" si="5"/>
        <v>3.4865606565494724</v>
      </c>
      <c r="S27">
        <f t="shared" ca="1" si="6"/>
        <v>2.064600017970518</v>
      </c>
      <c r="T27">
        <f t="shared" ca="1" si="7"/>
        <v>3.37446108060383</v>
      </c>
      <c r="U27">
        <f t="shared" ca="1" si="8"/>
        <v>3.0465452432481968</v>
      </c>
      <c r="V27">
        <f t="shared" ca="1" si="9"/>
        <v>2.859649406980965</v>
      </c>
      <c r="W27">
        <f t="shared" ca="1" si="10"/>
        <v>2.9297427146893029</v>
      </c>
      <c r="X27">
        <f t="shared" ca="1" si="11"/>
        <v>2.5894629261928053</v>
      </c>
      <c r="Y27">
        <f t="shared" ca="1" si="12"/>
        <v>2.9416266587605473</v>
      </c>
      <c r="Z27">
        <f t="shared" ca="1" si="13"/>
        <v>3.3156628726152451</v>
      </c>
      <c r="AA27">
        <f t="shared" ca="1" si="14"/>
        <v>2.2698856975375521</v>
      </c>
      <c r="AB27">
        <f t="shared" ca="1" si="15"/>
        <v>3.1989898791902514</v>
      </c>
      <c r="AC27">
        <f t="shared" ca="1" si="16"/>
        <v>2.8200267964346404</v>
      </c>
      <c r="AD27">
        <f t="shared" ca="1" si="17"/>
        <v>2.724041725976559</v>
      </c>
      <c r="AE27">
        <f t="shared" ca="1" si="18"/>
        <v>2.5656596537117196</v>
      </c>
      <c r="AF27">
        <f t="shared" ca="1" si="19"/>
        <v>2.8074470044918378</v>
      </c>
      <c r="AG27">
        <f t="shared" ca="1" si="20"/>
        <v>3.3763072716834786</v>
      </c>
      <c r="AH27">
        <f t="shared" ca="1" si="21"/>
        <v>2.9699643780768854</v>
      </c>
      <c r="AI27">
        <f t="shared" ca="1" si="22"/>
        <v>3.4705851992800247</v>
      </c>
      <c r="AJ27">
        <f t="shared" ca="1" si="23"/>
        <v>2.4068801097490509</v>
      </c>
      <c r="AK27">
        <f t="shared" ca="1" si="24"/>
        <v>2.5937343474035037</v>
      </c>
      <c r="AL27">
        <f t="shared" ca="1" si="25"/>
        <v>3.0857511800762287</v>
      </c>
      <c r="AM27">
        <f t="shared" ca="1" si="26"/>
        <v>3.2930916726490329</v>
      </c>
      <c r="AN27">
        <f t="shared" ca="1" si="27"/>
        <v>2.8761317429456374</v>
      </c>
      <c r="AO27">
        <f t="shared" ca="1" si="28"/>
        <v>2.6548922812064291</v>
      </c>
      <c r="AP27">
        <f t="shared" ca="1" si="29"/>
        <v>3.0252022584534646</v>
      </c>
      <c r="AQ27">
        <f t="shared" ca="1" si="30"/>
        <v>2.452595313177083</v>
      </c>
      <c r="AR27">
        <f t="shared" ca="1" si="31"/>
        <v>2.9229248539135284</v>
      </c>
      <c r="AS27">
        <f t="shared" ca="1" si="32"/>
        <v>3.2845632884350482</v>
      </c>
      <c r="AT27">
        <f t="shared" ca="1" si="33"/>
        <v>3.9324215883943543</v>
      </c>
      <c r="AU27">
        <f t="shared" ca="1" si="34"/>
        <v>2.7635262542726409</v>
      </c>
      <c r="AV27">
        <f t="shared" ca="1" si="35"/>
        <v>3.4634953528894803</v>
      </c>
      <c r="AW27">
        <f t="shared" ca="1" si="36"/>
        <v>3.1053599533897995</v>
      </c>
      <c r="AX27">
        <f t="shared" ca="1" si="37"/>
        <v>2.9999829121205037</v>
      </c>
      <c r="AY27">
        <f t="shared" ca="1" si="38"/>
        <v>2.9908189300096732</v>
      </c>
      <c r="AZ27">
        <f t="shared" ca="1" si="39"/>
        <v>3.3793066966306764</v>
      </c>
    </row>
    <row r="28" spans="2:52" x14ac:dyDescent="0.35">
      <c r="B28" s="3">
        <v>45728</v>
      </c>
      <c r="C28" s="4">
        <v>392.20001220703102</v>
      </c>
      <c r="D28">
        <f t="shared" si="0"/>
        <v>-1.8316686600896616E-2</v>
      </c>
      <c r="L28" t="s">
        <v>123</v>
      </c>
      <c r="M28">
        <f t="shared" ca="1" si="40"/>
        <v>2.4991446735937521</v>
      </c>
      <c r="N28">
        <f t="shared" ca="1" si="41"/>
        <v>3.1918430726426128</v>
      </c>
      <c r="O28">
        <f t="shared" ca="1" si="2"/>
        <v>3.5456364637211188</v>
      </c>
      <c r="P28">
        <f t="shared" ca="1" si="3"/>
        <v>2.6102030217078687</v>
      </c>
      <c r="Q28">
        <f t="shared" ca="1" si="4"/>
        <v>2.4821831290923853</v>
      </c>
      <c r="R28">
        <f t="shared" ca="1" si="5"/>
        <v>3.5270217284931293</v>
      </c>
      <c r="S28">
        <f t="shared" ca="1" si="6"/>
        <v>2.0859658474181972</v>
      </c>
      <c r="T28">
        <f t="shared" ca="1" si="7"/>
        <v>3.4698842687172649</v>
      </c>
      <c r="U28">
        <f t="shared" ca="1" si="8"/>
        <v>3.1320327969156652</v>
      </c>
      <c r="V28">
        <f t="shared" ca="1" si="9"/>
        <v>3.0176133607626672</v>
      </c>
      <c r="W28">
        <f t="shared" ca="1" si="10"/>
        <v>2.9036792544011787</v>
      </c>
      <c r="X28">
        <f t="shared" ca="1" si="11"/>
        <v>2.5505777093221362</v>
      </c>
      <c r="Y28">
        <f t="shared" ca="1" si="12"/>
        <v>2.914198106293604</v>
      </c>
      <c r="Z28">
        <f t="shared" ca="1" si="13"/>
        <v>3.2113332737561997</v>
      </c>
      <c r="AA28">
        <f t="shared" ca="1" si="14"/>
        <v>2.324738425493805</v>
      </c>
      <c r="AB28">
        <f t="shared" ca="1" si="15"/>
        <v>3.1635733950726355</v>
      </c>
      <c r="AC28">
        <f t="shared" ca="1" si="16"/>
        <v>2.8597040565949876</v>
      </c>
      <c r="AD28">
        <f t="shared" ca="1" si="17"/>
        <v>2.6871682502335243</v>
      </c>
      <c r="AE28">
        <f t="shared" ca="1" si="18"/>
        <v>2.6361046884466011</v>
      </c>
      <c r="AF28">
        <f t="shared" ca="1" si="19"/>
        <v>2.7194606436049944</v>
      </c>
      <c r="AG28">
        <f t="shared" ca="1" si="20"/>
        <v>3.3346624130126536</v>
      </c>
      <c r="AH28">
        <f t="shared" ca="1" si="21"/>
        <v>2.9672666660416978</v>
      </c>
      <c r="AI28">
        <f t="shared" ca="1" si="22"/>
        <v>3.5601785728881326</v>
      </c>
      <c r="AJ28">
        <f t="shared" ca="1" si="23"/>
        <v>2.3502546456849145</v>
      </c>
      <c r="AK28">
        <f t="shared" ca="1" si="24"/>
        <v>2.7040664974726458</v>
      </c>
      <c r="AL28">
        <f t="shared" ca="1" si="25"/>
        <v>2.8808286090450652</v>
      </c>
      <c r="AM28">
        <f t="shared" ca="1" si="26"/>
        <v>3.2222122822564421</v>
      </c>
      <c r="AN28">
        <f t="shared" ca="1" si="27"/>
        <v>2.8689938521427694</v>
      </c>
      <c r="AO28">
        <f t="shared" ca="1" si="28"/>
        <v>2.6640833124458481</v>
      </c>
      <c r="AP28">
        <f t="shared" ca="1" si="29"/>
        <v>2.9983070573866164</v>
      </c>
      <c r="AQ28">
        <f t="shared" ca="1" si="30"/>
        <v>2.4785531181136164</v>
      </c>
      <c r="AR28">
        <f t="shared" ca="1" si="31"/>
        <v>3.0801426946659776</v>
      </c>
      <c r="AS28">
        <f t="shared" ca="1" si="32"/>
        <v>3.3346566090116374</v>
      </c>
      <c r="AT28">
        <f t="shared" ca="1" si="33"/>
        <v>4.2948843104111427</v>
      </c>
      <c r="AU28">
        <f t="shared" ca="1" si="34"/>
        <v>2.7907259126154877</v>
      </c>
      <c r="AV28">
        <f t="shared" ca="1" si="35"/>
        <v>3.4648156301935211</v>
      </c>
      <c r="AW28">
        <f t="shared" ca="1" si="36"/>
        <v>3.1133409554302935</v>
      </c>
      <c r="AX28">
        <f t="shared" ca="1" si="37"/>
        <v>3.008608276320881</v>
      </c>
      <c r="AY28">
        <f t="shared" ca="1" si="38"/>
        <v>2.9820881265101784</v>
      </c>
      <c r="AZ28">
        <f t="shared" ca="1" si="39"/>
        <v>3.3490022109499531</v>
      </c>
    </row>
    <row r="29" spans="2:52" x14ac:dyDescent="0.35">
      <c r="B29" s="3">
        <v>45729</v>
      </c>
      <c r="C29" s="4">
        <v>390.600006103515</v>
      </c>
      <c r="D29">
        <f t="shared" si="0"/>
        <v>-4.0879108181738899E-3</v>
      </c>
      <c r="L29" t="s">
        <v>124</v>
      </c>
      <c r="M29">
        <f t="shared" ca="1" si="40"/>
        <v>2.4515063194661311</v>
      </c>
      <c r="N29">
        <f t="shared" ca="1" si="41"/>
        <v>3.189965856469255</v>
      </c>
      <c r="O29">
        <f t="shared" ca="1" si="2"/>
        <v>3.6019398182325602</v>
      </c>
      <c r="P29">
        <f t="shared" ca="1" si="3"/>
        <v>2.5591589173474865</v>
      </c>
      <c r="Q29">
        <f t="shared" ca="1" si="4"/>
        <v>2.4675021058139861</v>
      </c>
      <c r="R29">
        <f t="shared" ca="1" si="5"/>
        <v>3.4768993638914036</v>
      </c>
      <c r="S29">
        <f t="shared" ca="1" si="6"/>
        <v>2.0846300080677218</v>
      </c>
      <c r="T29">
        <f t="shared" ca="1" si="7"/>
        <v>3.4024552081947119</v>
      </c>
      <c r="U29">
        <f t="shared" ca="1" si="8"/>
        <v>3.147141884730015</v>
      </c>
      <c r="V29">
        <f t="shared" ca="1" si="9"/>
        <v>2.8603904479334248</v>
      </c>
      <c r="W29">
        <f t="shared" ca="1" si="10"/>
        <v>2.9601280828393808</v>
      </c>
      <c r="X29">
        <f t="shared" ca="1" si="11"/>
        <v>2.4704136672264463</v>
      </c>
      <c r="Y29">
        <f t="shared" ca="1" si="12"/>
        <v>2.9374297742757971</v>
      </c>
      <c r="Z29">
        <f t="shared" ca="1" si="13"/>
        <v>3.3565491478515255</v>
      </c>
      <c r="AA29">
        <f t="shared" ca="1" si="14"/>
        <v>2.3522987285211943</v>
      </c>
      <c r="AB29">
        <f t="shared" ca="1" si="15"/>
        <v>3.2023421970910095</v>
      </c>
      <c r="AC29">
        <f t="shared" ca="1" si="16"/>
        <v>2.7700917185070035</v>
      </c>
      <c r="AD29">
        <f t="shared" ca="1" si="17"/>
        <v>2.6919009223676746</v>
      </c>
      <c r="AE29">
        <f t="shared" ca="1" si="18"/>
        <v>2.6769286580965108</v>
      </c>
      <c r="AF29">
        <f t="shared" ca="1" si="19"/>
        <v>2.7373593789129189</v>
      </c>
      <c r="AG29">
        <f t="shared" ca="1" si="20"/>
        <v>3.314739405420462</v>
      </c>
      <c r="AH29">
        <f t="shared" ca="1" si="21"/>
        <v>3.077748879503508</v>
      </c>
      <c r="AI29">
        <f t="shared" ca="1" si="22"/>
        <v>3.6657929975188321</v>
      </c>
      <c r="AJ29">
        <f t="shared" ca="1" si="23"/>
        <v>2.3298549989682806</v>
      </c>
      <c r="AK29">
        <f t="shared" ca="1" si="24"/>
        <v>2.6742952710491239</v>
      </c>
      <c r="AL29">
        <f t="shared" ca="1" si="25"/>
        <v>2.7244325239353397</v>
      </c>
      <c r="AM29">
        <f t="shared" ca="1" si="26"/>
        <v>3.1723440734236141</v>
      </c>
      <c r="AN29">
        <f t="shared" ca="1" si="27"/>
        <v>2.838691812128316</v>
      </c>
      <c r="AO29">
        <f t="shared" ca="1" si="28"/>
        <v>2.6767430550257765</v>
      </c>
      <c r="AP29">
        <f t="shared" ca="1" si="29"/>
        <v>3.1353609031095666</v>
      </c>
      <c r="AQ29">
        <f t="shared" ca="1" si="30"/>
        <v>2.5804513898586769</v>
      </c>
      <c r="AR29">
        <f t="shared" ca="1" si="31"/>
        <v>3.0689913618986013</v>
      </c>
      <c r="AS29">
        <f t="shared" ca="1" si="32"/>
        <v>3.2760014456983515</v>
      </c>
      <c r="AT29">
        <f t="shared" ca="1" si="33"/>
        <v>4.1593606353322228</v>
      </c>
      <c r="AU29">
        <f t="shared" ca="1" si="34"/>
        <v>2.7406943389895324</v>
      </c>
      <c r="AV29">
        <f t="shared" ca="1" si="35"/>
        <v>3.6006799673522849</v>
      </c>
      <c r="AW29">
        <f t="shared" ca="1" si="36"/>
        <v>3.073779862967688</v>
      </c>
      <c r="AX29">
        <f t="shared" ca="1" si="37"/>
        <v>2.9912094912325804</v>
      </c>
      <c r="AY29">
        <f t="shared" ca="1" si="38"/>
        <v>3.0260769146660045</v>
      </c>
      <c r="AZ29">
        <f t="shared" ca="1" si="39"/>
        <v>3.3441033776852738</v>
      </c>
    </row>
    <row r="30" spans="2:52" x14ac:dyDescent="0.35">
      <c r="B30" s="3">
        <v>45730</v>
      </c>
      <c r="C30" s="4">
        <v>382.100006103515</v>
      </c>
      <c r="D30">
        <f t="shared" si="0"/>
        <v>-2.2001663642116333E-2</v>
      </c>
      <c r="L30" t="s">
        <v>125</v>
      </c>
      <c r="M30">
        <f t="shared" ca="1" si="40"/>
        <v>2.3933408287138977</v>
      </c>
      <c r="N30">
        <f t="shared" ca="1" si="41"/>
        <v>3.1091960611541398</v>
      </c>
      <c r="O30">
        <f t="shared" ca="1" si="2"/>
        <v>3.6035609625711298</v>
      </c>
      <c r="P30">
        <f t="shared" ca="1" si="3"/>
        <v>2.5787415607956392</v>
      </c>
      <c r="Q30">
        <f t="shared" ca="1" si="4"/>
        <v>2.3957251607135226</v>
      </c>
      <c r="R30">
        <f t="shared" ca="1" si="5"/>
        <v>3.4958236933421483</v>
      </c>
      <c r="S30">
        <f t="shared" ca="1" si="6"/>
        <v>2.1030236145847852</v>
      </c>
      <c r="T30">
        <f t="shared" ca="1" si="7"/>
        <v>3.3683862126710529</v>
      </c>
      <c r="U30">
        <f t="shared" ca="1" si="8"/>
        <v>3.0516016497240783</v>
      </c>
      <c r="V30">
        <f t="shared" ca="1" si="9"/>
        <v>2.9018151592322292</v>
      </c>
      <c r="W30">
        <f t="shared" ca="1" si="10"/>
        <v>3.0062813483267443</v>
      </c>
      <c r="X30">
        <f t="shared" ca="1" si="11"/>
        <v>2.4124313975677172</v>
      </c>
      <c r="Y30">
        <f t="shared" ca="1" si="12"/>
        <v>3.0172548236978689</v>
      </c>
      <c r="Z30">
        <f t="shared" ca="1" si="13"/>
        <v>3.3449260463320107</v>
      </c>
      <c r="AA30">
        <f t="shared" ca="1" si="14"/>
        <v>2.3588615360175806</v>
      </c>
      <c r="AB30">
        <f t="shared" ca="1" si="15"/>
        <v>3.1372634311134884</v>
      </c>
      <c r="AC30">
        <f t="shared" ca="1" si="16"/>
        <v>2.6984105915632353</v>
      </c>
      <c r="AD30">
        <f t="shared" ca="1" si="17"/>
        <v>2.7235792976163684</v>
      </c>
      <c r="AE30">
        <f t="shared" ca="1" si="18"/>
        <v>2.7197096778812258</v>
      </c>
      <c r="AF30">
        <f t="shared" ca="1" si="19"/>
        <v>2.657833372432671</v>
      </c>
      <c r="AG30">
        <f t="shared" ca="1" si="20"/>
        <v>3.2621495866579187</v>
      </c>
      <c r="AH30">
        <f t="shared" ca="1" si="21"/>
        <v>3.022955230102887</v>
      </c>
      <c r="AI30">
        <f t="shared" ca="1" si="22"/>
        <v>3.6607986974877842</v>
      </c>
      <c r="AJ30">
        <f t="shared" ca="1" si="23"/>
        <v>2.3589686591805901</v>
      </c>
      <c r="AK30">
        <f t="shared" ca="1" si="24"/>
        <v>2.686209913297017</v>
      </c>
      <c r="AL30">
        <f t="shared" ca="1" si="25"/>
        <v>2.6790801496790113</v>
      </c>
      <c r="AM30">
        <f t="shared" ca="1" si="26"/>
        <v>3.2049993959527727</v>
      </c>
      <c r="AN30">
        <f t="shared" ca="1" si="27"/>
        <v>2.8527502778574774</v>
      </c>
      <c r="AO30">
        <f t="shared" ca="1" si="28"/>
        <v>2.6272982845994908</v>
      </c>
      <c r="AP30">
        <f t="shared" ca="1" si="29"/>
        <v>3.1419797837671415</v>
      </c>
      <c r="AQ30">
        <f t="shared" ca="1" si="30"/>
        <v>2.4532179334291673</v>
      </c>
      <c r="AR30">
        <f t="shared" ca="1" si="31"/>
        <v>2.9735529615493483</v>
      </c>
      <c r="AS30">
        <f t="shared" ca="1" si="32"/>
        <v>3.4270072411115358</v>
      </c>
      <c r="AT30">
        <f t="shared" ca="1" si="33"/>
        <v>4.125958834051497</v>
      </c>
      <c r="AU30">
        <f t="shared" ca="1" si="34"/>
        <v>2.7331784982523413</v>
      </c>
      <c r="AV30">
        <f t="shared" ca="1" si="35"/>
        <v>3.6540853353837286</v>
      </c>
      <c r="AW30">
        <f t="shared" ca="1" si="36"/>
        <v>3.0862568830611119</v>
      </c>
      <c r="AX30">
        <f t="shared" ca="1" si="37"/>
        <v>2.9451235708960146</v>
      </c>
      <c r="AY30">
        <f t="shared" ca="1" si="38"/>
        <v>2.9828518967469</v>
      </c>
      <c r="AZ30">
        <f t="shared" ca="1" si="39"/>
        <v>3.3901187216086903</v>
      </c>
    </row>
    <row r="31" spans="2:52" x14ac:dyDescent="0.35">
      <c r="B31" s="3">
        <v>45733</v>
      </c>
      <c r="C31" s="4">
        <v>389.350006103515</v>
      </c>
      <c r="D31">
        <f t="shared" si="0"/>
        <v>1.8796327272699916E-2</v>
      </c>
      <c r="L31" t="s">
        <v>126</v>
      </c>
      <c r="M31">
        <f t="shared" ca="1" si="40"/>
        <v>2.4129971962958003</v>
      </c>
      <c r="N31">
        <f t="shared" ca="1" si="41"/>
        <v>3.056876764479262</v>
      </c>
      <c r="O31">
        <f t="shared" ca="1" si="2"/>
        <v>3.6079770943985481</v>
      </c>
      <c r="P31">
        <f t="shared" ca="1" si="3"/>
        <v>2.7455540919564263</v>
      </c>
      <c r="Q31">
        <f t="shared" ca="1" si="4"/>
        <v>2.422915341950397</v>
      </c>
      <c r="R31">
        <f t="shared" ca="1" si="5"/>
        <v>3.5574807999069242</v>
      </c>
      <c r="S31">
        <f t="shared" ca="1" si="6"/>
        <v>2.0916566423294118</v>
      </c>
      <c r="T31">
        <f t="shared" ca="1" si="7"/>
        <v>3.4667565209475737</v>
      </c>
      <c r="U31">
        <f t="shared" ca="1" si="8"/>
        <v>2.9282668224694417</v>
      </c>
      <c r="V31">
        <f t="shared" ca="1" si="9"/>
        <v>2.9112982849752695</v>
      </c>
      <c r="W31">
        <f t="shared" ca="1" si="10"/>
        <v>3.0042370219923327</v>
      </c>
      <c r="X31">
        <f t="shared" ca="1" si="11"/>
        <v>2.4173560550390958</v>
      </c>
      <c r="Y31">
        <f t="shared" ca="1" si="12"/>
        <v>2.9281729347011978</v>
      </c>
      <c r="Z31">
        <f t="shared" ca="1" si="13"/>
        <v>3.3382017587133004</v>
      </c>
      <c r="AA31">
        <f t="shared" ca="1" si="14"/>
        <v>2.4355023108991278</v>
      </c>
      <c r="AB31">
        <f t="shared" ca="1" si="15"/>
        <v>3.1174456761037912</v>
      </c>
      <c r="AC31">
        <f t="shared" ca="1" si="16"/>
        <v>2.7216789650681039</v>
      </c>
      <c r="AD31">
        <f t="shared" ca="1" si="17"/>
        <v>2.6816547203258394</v>
      </c>
      <c r="AE31">
        <f t="shared" ca="1" si="18"/>
        <v>2.7819050206552469</v>
      </c>
      <c r="AF31">
        <f t="shared" ca="1" si="19"/>
        <v>2.6667718369890929</v>
      </c>
      <c r="AG31">
        <f t="shared" ca="1" si="20"/>
        <v>3.2749222040660468</v>
      </c>
      <c r="AH31">
        <f t="shared" ca="1" si="21"/>
        <v>3.0004618722341023</v>
      </c>
      <c r="AI31">
        <f t="shared" ca="1" si="22"/>
        <v>3.7283835696167755</v>
      </c>
      <c r="AJ31">
        <f t="shared" ca="1" si="23"/>
        <v>2.3585853314705503</v>
      </c>
      <c r="AK31">
        <f t="shared" ca="1" si="24"/>
        <v>2.6308538540795925</v>
      </c>
      <c r="AL31">
        <f t="shared" ca="1" si="25"/>
        <v>2.7249776353829271</v>
      </c>
      <c r="AM31">
        <f t="shared" ca="1" si="26"/>
        <v>3.1518073927323029</v>
      </c>
      <c r="AN31">
        <f t="shared" ca="1" si="27"/>
        <v>2.7835062563152744</v>
      </c>
      <c r="AO31">
        <f t="shared" ca="1" si="28"/>
        <v>2.6277529995458115</v>
      </c>
      <c r="AP31">
        <f t="shared" ca="1" si="29"/>
        <v>3.1911425601964907</v>
      </c>
      <c r="AQ31">
        <f t="shared" ca="1" si="30"/>
        <v>2.434232957294943</v>
      </c>
      <c r="AR31">
        <f t="shared" ca="1" si="31"/>
        <v>2.9441128065510993</v>
      </c>
      <c r="AS31">
        <f t="shared" ca="1" si="32"/>
        <v>3.3792546576923632</v>
      </c>
      <c r="AT31">
        <f t="shared" ca="1" si="33"/>
        <v>4.0141386053463375</v>
      </c>
      <c r="AU31">
        <f t="shared" ca="1" si="34"/>
        <v>2.7391367289962019</v>
      </c>
      <c r="AV31">
        <f t="shared" ca="1" si="35"/>
        <v>3.5938253593358311</v>
      </c>
      <c r="AW31">
        <f t="shared" ca="1" si="36"/>
        <v>3.1044012790216429</v>
      </c>
      <c r="AX31">
        <f t="shared" ca="1" si="37"/>
        <v>2.9166086821933739</v>
      </c>
      <c r="AY31">
        <f t="shared" ca="1" si="38"/>
        <v>3.0584155680932357</v>
      </c>
      <c r="AZ31">
        <f t="shared" ca="1" si="39"/>
        <v>3.4993601171356472</v>
      </c>
    </row>
    <row r="32" spans="2:52" x14ac:dyDescent="0.35">
      <c r="B32" s="3">
        <v>45734</v>
      </c>
      <c r="C32" s="4">
        <v>387.14999389648398</v>
      </c>
      <c r="D32">
        <f t="shared" si="0"/>
        <v>-5.6664986316765607E-3</v>
      </c>
      <c r="L32" t="s">
        <v>127</v>
      </c>
      <c r="M32">
        <f t="shared" ca="1" si="40"/>
        <v>2.5090723149522982</v>
      </c>
      <c r="N32">
        <f t="shared" ca="1" si="41"/>
        <v>3.122562150802958</v>
      </c>
      <c r="O32">
        <f t="shared" ca="1" si="2"/>
        <v>3.3945487275556943</v>
      </c>
      <c r="P32">
        <f t="shared" ca="1" si="3"/>
        <v>2.8167272438728261</v>
      </c>
      <c r="Q32">
        <f t="shared" ca="1" si="4"/>
        <v>2.4993509030681516</v>
      </c>
      <c r="R32">
        <f t="shared" ca="1" si="5"/>
        <v>3.3942772671815971</v>
      </c>
      <c r="S32">
        <f t="shared" ca="1" si="6"/>
        <v>2.071559992689517</v>
      </c>
      <c r="T32">
        <f t="shared" ca="1" si="7"/>
        <v>3.3934174721993875</v>
      </c>
      <c r="U32">
        <f t="shared" ca="1" si="8"/>
        <v>2.9505766627838579</v>
      </c>
      <c r="V32">
        <f t="shared" ca="1" si="9"/>
        <v>2.9105629368341557</v>
      </c>
      <c r="W32">
        <f t="shared" ca="1" si="10"/>
        <v>3.004938907865732</v>
      </c>
      <c r="X32">
        <f t="shared" ca="1" si="11"/>
        <v>2.4750079009551276</v>
      </c>
      <c r="Y32">
        <f t="shared" ca="1" si="12"/>
        <v>2.8428654230339023</v>
      </c>
      <c r="Z32">
        <f t="shared" ca="1" si="13"/>
        <v>3.3660493272704715</v>
      </c>
      <c r="AA32">
        <f t="shared" ca="1" si="14"/>
        <v>2.3654773111403729</v>
      </c>
      <c r="AB32">
        <f t="shared" ca="1" si="15"/>
        <v>3.1461804435977081</v>
      </c>
      <c r="AC32">
        <f t="shared" ca="1" si="16"/>
        <v>2.7670617177561994</v>
      </c>
      <c r="AD32">
        <f t="shared" ca="1" si="17"/>
        <v>2.5793956782526903</v>
      </c>
      <c r="AE32">
        <f t="shared" ca="1" si="18"/>
        <v>2.8408204929491063</v>
      </c>
      <c r="AF32">
        <f t="shared" ca="1" si="19"/>
        <v>2.5879873726720257</v>
      </c>
      <c r="AG32">
        <f t="shared" ca="1" si="20"/>
        <v>3.2758311207082635</v>
      </c>
      <c r="AH32">
        <f t="shared" ca="1" si="21"/>
        <v>2.8945829981686293</v>
      </c>
      <c r="AI32">
        <f t="shared" ca="1" si="22"/>
        <v>3.6413528676412898</v>
      </c>
      <c r="AJ32">
        <f t="shared" ca="1" si="23"/>
        <v>2.3613740298058152</v>
      </c>
      <c r="AK32">
        <f t="shared" ca="1" si="24"/>
        <v>2.7382474198315672</v>
      </c>
      <c r="AL32">
        <f t="shared" ca="1" si="25"/>
        <v>2.7979742730664974</v>
      </c>
      <c r="AM32">
        <f t="shared" ca="1" si="26"/>
        <v>3.1369011227112051</v>
      </c>
      <c r="AN32">
        <f t="shared" ca="1" si="27"/>
        <v>2.7548980579105278</v>
      </c>
      <c r="AO32">
        <f t="shared" ca="1" si="28"/>
        <v>2.6593211475859659</v>
      </c>
      <c r="AP32">
        <f t="shared" ca="1" si="29"/>
        <v>3.1905494466096647</v>
      </c>
      <c r="AQ32">
        <f t="shared" ca="1" si="30"/>
        <v>2.5349778463312416</v>
      </c>
      <c r="AR32">
        <f t="shared" ca="1" si="31"/>
        <v>2.7693392078098023</v>
      </c>
      <c r="AS32">
        <f t="shared" ca="1" si="32"/>
        <v>3.4371759677960019</v>
      </c>
      <c r="AT32">
        <f t="shared" ca="1" si="33"/>
        <v>3.9301843285412073</v>
      </c>
      <c r="AU32">
        <f t="shared" ca="1" si="34"/>
        <v>2.8182530303212965</v>
      </c>
      <c r="AV32">
        <f t="shared" ca="1" si="35"/>
        <v>3.6925592480902805</v>
      </c>
      <c r="AW32">
        <f t="shared" ca="1" si="36"/>
        <v>3.1227438351202026</v>
      </c>
      <c r="AX32">
        <f t="shared" ca="1" si="37"/>
        <v>2.9181545664101747</v>
      </c>
      <c r="AY32">
        <f t="shared" ca="1" si="38"/>
        <v>3.0832811254432899</v>
      </c>
      <c r="AZ32">
        <f t="shared" ca="1" si="39"/>
        <v>3.3899666998265818</v>
      </c>
    </row>
    <row r="33" spans="2:52" x14ac:dyDescent="0.35">
      <c r="B33" s="3">
        <v>45735</v>
      </c>
      <c r="C33" s="4">
        <v>394.600006103515</v>
      </c>
      <c r="D33">
        <f t="shared" si="0"/>
        <v>1.9060409988631188E-2</v>
      </c>
      <c r="L33" t="s">
        <v>128</v>
      </c>
      <c r="M33">
        <f t="shared" ca="1" si="40"/>
        <v>2.4299729920131514</v>
      </c>
      <c r="N33">
        <f t="shared" ca="1" si="41"/>
        <v>3.1697786432867403</v>
      </c>
      <c r="O33">
        <f t="shared" ca="1" si="2"/>
        <v>3.4608777714579677</v>
      </c>
      <c r="P33">
        <f t="shared" ca="1" si="3"/>
        <v>2.8724749202565603</v>
      </c>
      <c r="Q33">
        <f t="shared" ca="1" si="4"/>
        <v>2.5853884981978794</v>
      </c>
      <c r="R33">
        <f t="shared" ca="1" si="5"/>
        <v>3.4227706548798111</v>
      </c>
      <c r="S33">
        <f t="shared" ca="1" si="6"/>
        <v>2.1010012404800373</v>
      </c>
      <c r="T33">
        <f t="shared" ca="1" si="7"/>
        <v>3.269511739095464</v>
      </c>
      <c r="U33">
        <f t="shared" ca="1" si="8"/>
        <v>2.8883352955495032</v>
      </c>
      <c r="V33">
        <f t="shared" ca="1" si="9"/>
        <v>3.0662472482445184</v>
      </c>
      <c r="W33">
        <f t="shared" ca="1" si="10"/>
        <v>2.9579042811907961</v>
      </c>
      <c r="X33">
        <f t="shared" ca="1" si="11"/>
        <v>2.5265614532754581</v>
      </c>
      <c r="Y33">
        <f t="shared" ca="1" si="12"/>
        <v>2.843845474480672</v>
      </c>
      <c r="Z33">
        <f t="shared" ca="1" si="13"/>
        <v>3.5266031195006287</v>
      </c>
      <c r="AA33">
        <f t="shared" ca="1" si="14"/>
        <v>2.2999065611638216</v>
      </c>
      <c r="AB33">
        <f t="shared" ca="1" si="15"/>
        <v>3.1301322631382331</v>
      </c>
      <c r="AC33">
        <f t="shared" ca="1" si="16"/>
        <v>2.7547470685995887</v>
      </c>
      <c r="AD33">
        <f t="shared" ca="1" si="17"/>
        <v>2.5465779859806914</v>
      </c>
      <c r="AE33">
        <f t="shared" ca="1" si="18"/>
        <v>2.8966078819327441</v>
      </c>
      <c r="AF33">
        <f t="shared" ca="1" si="19"/>
        <v>2.4975240472348852</v>
      </c>
      <c r="AG33">
        <f t="shared" ca="1" si="20"/>
        <v>3.2430607204000128</v>
      </c>
      <c r="AH33">
        <f t="shared" ca="1" si="21"/>
        <v>2.8847641622685347</v>
      </c>
      <c r="AI33">
        <f t="shared" ca="1" si="22"/>
        <v>3.6380903094579899</v>
      </c>
      <c r="AJ33">
        <f t="shared" ca="1" si="23"/>
        <v>2.2835993815129778</v>
      </c>
      <c r="AK33">
        <f t="shared" ca="1" si="24"/>
        <v>2.6330527780798731</v>
      </c>
      <c r="AL33">
        <f t="shared" ca="1" si="25"/>
        <v>2.8169053351631321</v>
      </c>
      <c r="AM33">
        <f t="shared" ca="1" si="26"/>
        <v>3.1854275691607592</v>
      </c>
      <c r="AN33">
        <f t="shared" ca="1" si="27"/>
        <v>2.7637797100663666</v>
      </c>
      <c r="AO33">
        <f t="shared" ca="1" si="28"/>
        <v>2.6873602607706797</v>
      </c>
      <c r="AP33">
        <f t="shared" ca="1" si="29"/>
        <v>3.1075330740936216</v>
      </c>
      <c r="AQ33">
        <f t="shared" ca="1" si="30"/>
        <v>2.514684201513341</v>
      </c>
      <c r="AR33">
        <f t="shared" ca="1" si="31"/>
        <v>2.7446925617679261</v>
      </c>
      <c r="AS33">
        <f t="shared" ca="1" si="32"/>
        <v>3.4293013973876043</v>
      </c>
      <c r="AT33">
        <f t="shared" ca="1" si="33"/>
        <v>3.9666997401341808</v>
      </c>
      <c r="AU33">
        <f t="shared" ca="1" si="34"/>
        <v>2.8488721866425091</v>
      </c>
      <c r="AV33">
        <f t="shared" ca="1" si="35"/>
        <v>3.6432953412576472</v>
      </c>
      <c r="AW33">
        <f t="shared" ca="1" si="36"/>
        <v>3.1100776398996741</v>
      </c>
      <c r="AX33">
        <f t="shared" ca="1" si="37"/>
        <v>2.9414754376126964</v>
      </c>
      <c r="AY33">
        <f t="shared" ca="1" si="38"/>
        <v>2.9981215417220022</v>
      </c>
      <c r="AZ33">
        <f t="shared" ca="1" si="39"/>
        <v>3.3116068933986273</v>
      </c>
    </row>
    <row r="34" spans="2:52" x14ac:dyDescent="0.35">
      <c r="B34" s="3">
        <v>45736</v>
      </c>
      <c r="C34" s="4">
        <v>392.14999389648398</v>
      </c>
      <c r="D34">
        <f t="shared" si="0"/>
        <v>-6.2282049616778383E-3</v>
      </c>
      <c r="L34" t="s">
        <v>129</v>
      </c>
      <c r="M34">
        <f t="shared" ca="1" si="40"/>
        <v>2.3520222793980192</v>
      </c>
      <c r="N34">
        <f t="shared" ca="1" si="41"/>
        <v>3.150081226215824</v>
      </c>
      <c r="O34">
        <f t="shared" ca="1" si="2"/>
        <v>3.4383948581502501</v>
      </c>
      <c r="P34">
        <f t="shared" ca="1" si="3"/>
        <v>2.8716237824620232</v>
      </c>
      <c r="Q34">
        <f t="shared" ca="1" si="4"/>
        <v>2.5998738388119751</v>
      </c>
      <c r="R34">
        <f t="shared" ca="1" si="5"/>
        <v>3.2993062288858059</v>
      </c>
      <c r="S34">
        <f t="shared" ca="1" si="6"/>
        <v>2.0534113389605197</v>
      </c>
      <c r="T34">
        <f t="shared" ca="1" si="7"/>
        <v>3.3016666060156821</v>
      </c>
      <c r="U34">
        <f t="shared" ca="1" si="8"/>
        <v>2.880282628161309</v>
      </c>
      <c r="V34">
        <f t="shared" ca="1" si="9"/>
        <v>3.1667972880252888</v>
      </c>
      <c r="W34">
        <f t="shared" ca="1" si="10"/>
        <v>2.9643242435126087</v>
      </c>
      <c r="X34">
        <f t="shared" ca="1" si="11"/>
        <v>2.5141741583347166</v>
      </c>
      <c r="Y34">
        <f t="shared" ca="1" si="12"/>
        <v>2.8754516877060059</v>
      </c>
      <c r="Z34">
        <f t="shared" ca="1" si="13"/>
        <v>3.471557759449309</v>
      </c>
      <c r="AA34">
        <f t="shared" ca="1" si="14"/>
        <v>2.3649364989402684</v>
      </c>
      <c r="AB34">
        <f t="shared" ca="1" si="15"/>
        <v>3.1084786652221128</v>
      </c>
      <c r="AC34">
        <f t="shared" ca="1" si="16"/>
        <v>2.8066021587608527</v>
      </c>
      <c r="AD34">
        <f t="shared" ca="1" si="17"/>
        <v>2.576982807373263</v>
      </c>
      <c r="AE34">
        <f t="shared" ca="1" si="18"/>
        <v>2.7093347236678791</v>
      </c>
      <c r="AF34">
        <f t="shared" ca="1" si="19"/>
        <v>2.5513820499253392</v>
      </c>
      <c r="AG34">
        <f t="shared" ca="1" si="20"/>
        <v>3.2720827946324529</v>
      </c>
      <c r="AH34">
        <f t="shared" ca="1" si="21"/>
        <v>2.8612243463649394</v>
      </c>
      <c r="AI34">
        <f t="shared" ca="1" si="22"/>
        <v>3.5589588559916141</v>
      </c>
      <c r="AJ34">
        <f t="shared" ca="1" si="23"/>
        <v>2.2905319149823686</v>
      </c>
      <c r="AK34">
        <f t="shared" ca="1" si="24"/>
        <v>2.718329853760451</v>
      </c>
      <c r="AL34">
        <f t="shared" ca="1" si="25"/>
        <v>2.7682364801454673</v>
      </c>
      <c r="AM34">
        <f t="shared" ca="1" si="26"/>
        <v>3.0883692414177619</v>
      </c>
      <c r="AN34">
        <f t="shared" ca="1" si="27"/>
        <v>2.7380070517383932</v>
      </c>
      <c r="AO34">
        <f t="shared" ca="1" si="28"/>
        <v>2.727231601270188</v>
      </c>
      <c r="AP34">
        <f t="shared" ca="1" si="29"/>
        <v>3.1110363747308409</v>
      </c>
      <c r="AQ34">
        <f t="shared" ca="1" si="30"/>
        <v>2.5718909152513985</v>
      </c>
      <c r="AR34">
        <f t="shared" ca="1" si="31"/>
        <v>2.7289471278881923</v>
      </c>
      <c r="AS34">
        <f t="shared" ca="1" si="32"/>
        <v>3.5169511103790749</v>
      </c>
      <c r="AT34">
        <f t="shared" ca="1" si="33"/>
        <v>4.1440642862989021</v>
      </c>
      <c r="AU34">
        <f t="shared" ca="1" si="34"/>
        <v>2.7071386216455702</v>
      </c>
      <c r="AV34">
        <f t="shared" ca="1" si="35"/>
        <v>3.6210178761068494</v>
      </c>
      <c r="AW34">
        <f t="shared" ca="1" si="36"/>
        <v>3.0777211011039025</v>
      </c>
      <c r="AX34">
        <f t="shared" ca="1" si="37"/>
        <v>2.9666419813866169</v>
      </c>
      <c r="AY34">
        <f t="shared" ca="1" si="38"/>
        <v>2.9072381037389734</v>
      </c>
      <c r="AZ34">
        <f t="shared" ca="1" si="39"/>
        <v>3.3610881836386084</v>
      </c>
    </row>
    <row r="35" spans="2:52" x14ac:dyDescent="0.35">
      <c r="B35" s="3">
        <v>45737</v>
      </c>
      <c r="C35" s="4">
        <v>391.39999389648398</v>
      </c>
      <c r="D35">
        <f t="shared" si="0"/>
        <v>-1.9143647265237661E-3</v>
      </c>
      <c r="L35" t="s">
        <v>130</v>
      </c>
      <c r="M35">
        <f t="shared" ca="1" si="40"/>
        <v>2.2903828367004153</v>
      </c>
      <c r="N35">
        <f t="shared" ca="1" si="41"/>
        <v>3.1468090743992483</v>
      </c>
      <c r="O35">
        <f t="shared" ca="1" si="2"/>
        <v>3.3932543422360695</v>
      </c>
      <c r="P35">
        <f t="shared" ca="1" si="3"/>
        <v>2.7554548439465472</v>
      </c>
      <c r="Q35">
        <f t="shared" ca="1" si="4"/>
        <v>2.6601702127335169</v>
      </c>
      <c r="R35">
        <f t="shared" ca="1" si="5"/>
        <v>3.2484951239138713</v>
      </c>
      <c r="S35">
        <f t="shared" ca="1" si="6"/>
        <v>2.0550285473497962</v>
      </c>
      <c r="T35">
        <f t="shared" ca="1" si="7"/>
        <v>3.4015150629148274</v>
      </c>
      <c r="U35">
        <f t="shared" ca="1" si="8"/>
        <v>3.0195205591775038</v>
      </c>
      <c r="V35">
        <f t="shared" ca="1" si="9"/>
        <v>3.2125574859238726</v>
      </c>
      <c r="W35">
        <f t="shared" ca="1" si="10"/>
        <v>2.8824114387541537</v>
      </c>
      <c r="X35">
        <f t="shared" ca="1" si="11"/>
        <v>2.5638952717410808</v>
      </c>
      <c r="Y35">
        <f t="shared" ca="1" si="12"/>
        <v>2.849047370385577</v>
      </c>
      <c r="Z35">
        <f t="shared" ca="1" si="13"/>
        <v>3.461958842944167</v>
      </c>
      <c r="AA35">
        <f t="shared" ca="1" si="14"/>
        <v>2.3746999559028747</v>
      </c>
      <c r="AB35">
        <f t="shared" ca="1" si="15"/>
        <v>3.1392447079521535</v>
      </c>
      <c r="AC35">
        <f t="shared" ca="1" si="16"/>
        <v>2.7755470495767058</v>
      </c>
      <c r="AD35">
        <f t="shared" ca="1" si="17"/>
        <v>2.6486780335494773</v>
      </c>
      <c r="AE35">
        <f t="shared" ca="1" si="18"/>
        <v>2.5462928523557387</v>
      </c>
      <c r="AF35">
        <f t="shared" ca="1" si="19"/>
        <v>2.5800092287445842</v>
      </c>
      <c r="AG35">
        <f t="shared" ca="1" si="20"/>
        <v>3.1918775929121712</v>
      </c>
      <c r="AH35">
        <f t="shared" ca="1" si="21"/>
        <v>2.8443993749042611</v>
      </c>
      <c r="AI35">
        <f t="shared" ca="1" si="22"/>
        <v>3.7089988830375429</v>
      </c>
      <c r="AJ35">
        <f t="shared" ca="1" si="23"/>
        <v>2.3085057063689307</v>
      </c>
      <c r="AK35">
        <f t="shared" ca="1" si="24"/>
        <v>2.7851147626424613</v>
      </c>
      <c r="AL35">
        <f t="shared" ca="1" si="25"/>
        <v>2.7365583666121704</v>
      </c>
      <c r="AM35">
        <f t="shared" ca="1" si="26"/>
        <v>3.1879790674037056</v>
      </c>
      <c r="AN35">
        <f t="shared" ca="1" si="27"/>
        <v>2.7844075010966454</v>
      </c>
      <c r="AO35">
        <f t="shared" ca="1" si="28"/>
        <v>2.7037223976685403</v>
      </c>
      <c r="AP35">
        <f t="shared" ca="1" si="29"/>
        <v>3.088228119058261</v>
      </c>
      <c r="AQ35">
        <f t="shared" ca="1" si="30"/>
        <v>2.5450097183668849</v>
      </c>
      <c r="AR35">
        <f t="shared" ca="1" si="31"/>
        <v>2.7615916701052217</v>
      </c>
      <c r="AS35">
        <f t="shared" ca="1" si="32"/>
        <v>3.7120902082264693</v>
      </c>
      <c r="AT35">
        <f t="shared" ca="1" si="33"/>
        <v>4.0442443401540942</v>
      </c>
      <c r="AU35">
        <f t="shared" ca="1" si="34"/>
        <v>2.7412868792307536</v>
      </c>
      <c r="AV35">
        <f t="shared" ca="1" si="35"/>
        <v>3.5470734791719822</v>
      </c>
      <c r="AW35">
        <f t="shared" ca="1" si="36"/>
        <v>3.0764893135092275</v>
      </c>
      <c r="AX35">
        <f t="shared" ca="1" si="37"/>
        <v>3.0433499138584992</v>
      </c>
      <c r="AY35">
        <f t="shared" ca="1" si="38"/>
        <v>2.8102449450104712</v>
      </c>
      <c r="AZ35">
        <f t="shared" ca="1" si="39"/>
        <v>3.1893133145526784</v>
      </c>
    </row>
    <row r="36" spans="2:52" x14ac:dyDescent="0.35">
      <c r="B36" s="3">
        <v>45740</v>
      </c>
      <c r="C36" s="4">
        <v>393.39999389648398</v>
      </c>
      <c r="D36">
        <f t="shared" si="0"/>
        <v>5.0968510722613396E-3</v>
      </c>
      <c r="L36" t="s">
        <v>131</v>
      </c>
      <c r="M36">
        <f t="shared" ca="1" si="40"/>
        <v>2.3760246079596894</v>
      </c>
      <c r="N36">
        <f t="shared" ca="1" si="41"/>
        <v>3.2297428777212964</v>
      </c>
      <c r="O36">
        <f t="shared" ca="1" si="2"/>
        <v>3.3940687785414578</v>
      </c>
      <c r="P36">
        <f t="shared" ca="1" si="3"/>
        <v>2.7856424306690908</v>
      </c>
      <c r="Q36">
        <f t="shared" ca="1" si="4"/>
        <v>2.7146579217155735</v>
      </c>
      <c r="R36">
        <f t="shared" ca="1" si="5"/>
        <v>3.1608142889003599</v>
      </c>
      <c r="S36">
        <f t="shared" ca="1" si="6"/>
        <v>2.0192007175246194</v>
      </c>
      <c r="T36">
        <f t="shared" ca="1" si="7"/>
        <v>3.3872649200505065</v>
      </c>
      <c r="U36">
        <f t="shared" ca="1" si="8"/>
        <v>3.0018663359657185</v>
      </c>
      <c r="V36">
        <f t="shared" ca="1" si="9"/>
        <v>3.2293459367118182</v>
      </c>
      <c r="W36">
        <f t="shared" ca="1" si="10"/>
        <v>2.9177683070186142</v>
      </c>
      <c r="X36">
        <f t="shared" ca="1" si="11"/>
        <v>2.6379505418190234</v>
      </c>
      <c r="Y36">
        <f t="shared" ca="1" si="12"/>
        <v>2.7232085012601766</v>
      </c>
      <c r="Z36">
        <f t="shared" ca="1" si="13"/>
        <v>3.5684853462549357</v>
      </c>
      <c r="AA36">
        <f t="shared" ca="1" si="14"/>
        <v>2.3662631021852016</v>
      </c>
      <c r="AB36">
        <f t="shared" ca="1" si="15"/>
        <v>3.1517356325799408</v>
      </c>
      <c r="AC36">
        <f t="shared" ca="1" si="16"/>
        <v>2.7112437659219095</v>
      </c>
      <c r="AD36">
        <f t="shared" ca="1" si="17"/>
        <v>2.5738440580778272</v>
      </c>
      <c r="AE36">
        <f t="shared" ca="1" si="18"/>
        <v>2.5515879080900241</v>
      </c>
      <c r="AF36">
        <f t="shared" ca="1" si="19"/>
        <v>2.5854866878874643</v>
      </c>
      <c r="AG36">
        <f t="shared" ca="1" si="20"/>
        <v>3.1617547664537167</v>
      </c>
      <c r="AH36">
        <f t="shared" ca="1" si="21"/>
        <v>2.8418975371945527</v>
      </c>
      <c r="AI36">
        <f t="shared" ca="1" si="22"/>
        <v>3.8223351837381827</v>
      </c>
      <c r="AJ36">
        <f t="shared" ca="1" si="23"/>
        <v>2.3549294229567881</v>
      </c>
      <c r="AK36">
        <f t="shared" ca="1" si="24"/>
        <v>2.8254922862776559</v>
      </c>
      <c r="AL36">
        <f t="shared" ca="1" si="25"/>
        <v>2.7555666793790707</v>
      </c>
      <c r="AM36">
        <f t="shared" ca="1" si="26"/>
        <v>3.0084346114394078</v>
      </c>
      <c r="AN36">
        <f t="shared" ca="1" si="27"/>
        <v>2.7983734685384714</v>
      </c>
      <c r="AO36">
        <f t="shared" ca="1" si="28"/>
        <v>2.5758529472988099</v>
      </c>
      <c r="AP36">
        <f t="shared" ca="1" si="29"/>
        <v>3.0706928290320197</v>
      </c>
      <c r="AQ36">
        <f t="shared" ca="1" si="30"/>
        <v>2.5765829949271906</v>
      </c>
      <c r="AR36">
        <f t="shared" ca="1" si="31"/>
        <v>2.6177766461171919</v>
      </c>
      <c r="AS36">
        <f t="shared" ca="1" si="32"/>
        <v>3.7540338920140934</v>
      </c>
      <c r="AT36">
        <f t="shared" ca="1" si="33"/>
        <v>4.0002160490334902</v>
      </c>
      <c r="AU36">
        <f t="shared" ca="1" si="34"/>
        <v>2.7289195271608668</v>
      </c>
      <c r="AV36">
        <f t="shared" ca="1" si="35"/>
        <v>3.426276672776384</v>
      </c>
      <c r="AW36">
        <f t="shared" ca="1" si="36"/>
        <v>3.1647407331850248</v>
      </c>
      <c r="AX36">
        <f t="shared" ca="1" si="37"/>
        <v>3.1492921291628084</v>
      </c>
      <c r="AY36">
        <f t="shared" ca="1" si="38"/>
        <v>2.7439696631028228</v>
      </c>
      <c r="AZ36">
        <f t="shared" ca="1" si="39"/>
        <v>3.2131778262396136</v>
      </c>
    </row>
    <row r="37" spans="2:52" x14ac:dyDescent="0.35">
      <c r="B37" s="3">
        <v>45741</v>
      </c>
      <c r="C37" s="4">
        <v>398.54998779296801</v>
      </c>
      <c r="D37">
        <f t="shared" si="0"/>
        <v>1.3006039805148417E-2</v>
      </c>
      <c r="L37" t="s">
        <v>132</v>
      </c>
      <c r="M37">
        <f t="shared" ca="1" si="40"/>
        <v>2.4244179291983308</v>
      </c>
      <c r="N37">
        <f t="shared" ca="1" si="41"/>
        <v>3.1285717940081286</v>
      </c>
      <c r="O37">
        <f t="shared" ca="1" si="2"/>
        <v>3.4195982153594766</v>
      </c>
      <c r="P37">
        <f t="shared" ca="1" si="3"/>
        <v>2.6857785595713333</v>
      </c>
      <c r="Q37">
        <f t="shared" ca="1" si="4"/>
        <v>2.7635342546883437</v>
      </c>
      <c r="R37">
        <f t="shared" ca="1" si="5"/>
        <v>3.110527167402553</v>
      </c>
      <c r="S37">
        <f t="shared" ca="1" si="6"/>
        <v>2.0076141319222658</v>
      </c>
      <c r="T37">
        <f t="shared" ca="1" si="7"/>
        <v>3.5441662460541994</v>
      </c>
      <c r="U37">
        <f t="shared" ca="1" si="8"/>
        <v>3.0308560333403856</v>
      </c>
      <c r="V37">
        <f t="shared" ca="1" si="9"/>
        <v>3.2667966539149056</v>
      </c>
      <c r="W37">
        <f t="shared" ca="1" si="10"/>
        <v>2.8190064747362227</v>
      </c>
      <c r="X37">
        <f t="shared" ca="1" si="11"/>
        <v>2.6541747440040919</v>
      </c>
      <c r="Y37">
        <f t="shared" ca="1" si="12"/>
        <v>2.6717851480303403</v>
      </c>
      <c r="Z37">
        <f t="shared" ca="1" si="13"/>
        <v>3.5384944451656581</v>
      </c>
      <c r="AA37">
        <f t="shared" ca="1" si="14"/>
        <v>2.4791995225038304</v>
      </c>
      <c r="AB37">
        <f t="shared" ca="1" si="15"/>
        <v>3.2024716327027343</v>
      </c>
      <c r="AC37">
        <f t="shared" ca="1" si="16"/>
        <v>2.7911297094295757</v>
      </c>
      <c r="AD37">
        <f t="shared" ca="1" si="17"/>
        <v>2.5648775498694416</v>
      </c>
      <c r="AE37">
        <f t="shared" ca="1" si="18"/>
        <v>2.5032591052039943</v>
      </c>
      <c r="AF37">
        <f t="shared" ca="1" si="19"/>
        <v>2.5845790249352771</v>
      </c>
      <c r="AG37">
        <f t="shared" ca="1" si="20"/>
        <v>3.1778104081446341</v>
      </c>
      <c r="AH37">
        <f t="shared" ca="1" si="21"/>
        <v>2.692733956507221</v>
      </c>
      <c r="AI37">
        <f t="shared" ca="1" si="22"/>
        <v>3.9365490583946467</v>
      </c>
      <c r="AJ37">
        <f t="shared" ca="1" si="23"/>
        <v>2.3809583987045477</v>
      </c>
      <c r="AK37">
        <f t="shared" ca="1" si="24"/>
        <v>2.9166432047723694</v>
      </c>
      <c r="AL37">
        <f t="shared" ca="1" si="25"/>
        <v>2.9172524817267975</v>
      </c>
      <c r="AM37">
        <f t="shared" ca="1" si="26"/>
        <v>3.0413199679796521</v>
      </c>
      <c r="AN37">
        <f t="shared" ca="1" si="27"/>
        <v>2.9050987151495198</v>
      </c>
      <c r="AO37">
        <f t="shared" ca="1" si="28"/>
        <v>2.582622400841303</v>
      </c>
      <c r="AP37">
        <f t="shared" ca="1" si="29"/>
        <v>3.0444565610013328</v>
      </c>
      <c r="AQ37">
        <f t="shared" ca="1" si="30"/>
        <v>2.5068650433861341</v>
      </c>
      <c r="AR37">
        <f t="shared" ca="1" si="31"/>
        <v>2.6563671684869665</v>
      </c>
      <c r="AS37">
        <f t="shared" ca="1" si="32"/>
        <v>3.8580499278872833</v>
      </c>
      <c r="AT37">
        <f t="shared" ca="1" si="33"/>
        <v>3.986316544579529</v>
      </c>
      <c r="AU37">
        <f t="shared" ca="1" si="34"/>
        <v>2.7106680975959199</v>
      </c>
      <c r="AV37">
        <f t="shared" ca="1" si="35"/>
        <v>3.4843180844188293</v>
      </c>
      <c r="AW37">
        <f t="shared" ca="1" si="36"/>
        <v>3.1532908185267372</v>
      </c>
      <c r="AX37">
        <f t="shared" ca="1" si="37"/>
        <v>3.1602951219085442</v>
      </c>
      <c r="AY37">
        <f t="shared" ca="1" si="38"/>
        <v>2.7103261160492957</v>
      </c>
      <c r="AZ37">
        <f t="shared" ca="1" si="39"/>
        <v>3.2104345064154294</v>
      </c>
    </row>
    <row r="38" spans="2:52" x14ac:dyDescent="0.35">
      <c r="B38" s="3">
        <v>45742</v>
      </c>
      <c r="C38" s="4">
        <v>392</v>
      </c>
      <c r="D38">
        <f t="shared" si="0"/>
        <v>-1.6571090454860573E-2</v>
      </c>
      <c r="L38" t="s">
        <v>133</v>
      </c>
      <c r="M38">
        <f t="shared" ca="1" si="40"/>
        <v>2.3942003149551372</v>
      </c>
      <c r="N38">
        <f t="shared" ca="1" si="41"/>
        <v>3.2011615604400223</v>
      </c>
      <c r="O38">
        <f t="shared" ca="1" si="2"/>
        <v>3.4220684280421723</v>
      </c>
      <c r="P38">
        <f t="shared" ca="1" si="3"/>
        <v>2.7181394396200549</v>
      </c>
      <c r="Q38">
        <f t="shared" ca="1" si="4"/>
        <v>2.8221777612883869</v>
      </c>
      <c r="R38">
        <f t="shared" ca="1" si="5"/>
        <v>2.9727256570093807</v>
      </c>
      <c r="S38">
        <f t="shared" ca="1" si="6"/>
        <v>1.9821922002129202</v>
      </c>
      <c r="T38">
        <f t="shared" ca="1" si="7"/>
        <v>3.5788834743619309</v>
      </c>
      <c r="U38">
        <f t="shared" ca="1" si="8"/>
        <v>2.9793092928158313</v>
      </c>
      <c r="V38">
        <f t="shared" ca="1" si="9"/>
        <v>3.1989616584857492</v>
      </c>
      <c r="W38">
        <f t="shared" ca="1" si="10"/>
        <v>2.8917752754573223</v>
      </c>
      <c r="X38">
        <f t="shared" ca="1" si="11"/>
        <v>2.728929118154455</v>
      </c>
      <c r="Y38">
        <f t="shared" ca="1" si="12"/>
        <v>2.670994896698883</v>
      </c>
      <c r="Z38">
        <f t="shared" ca="1" si="13"/>
        <v>3.4599543273535618</v>
      </c>
      <c r="AA38">
        <f t="shared" ca="1" si="14"/>
        <v>2.5310175414280907</v>
      </c>
      <c r="AB38">
        <f t="shared" ca="1" si="15"/>
        <v>3.2346444795633071</v>
      </c>
      <c r="AC38">
        <f t="shared" ca="1" si="16"/>
        <v>2.8243002402048809</v>
      </c>
      <c r="AD38">
        <f t="shared" ca="1" si="17"/>
        <v>2.542009872485941</v>
      </c>
      <c r="AE38">
        <f t="shared" ca="1" si="18"/>
        <v>2.4436072118306957</v>
      </c>
      <c r="AF38">
        <f t="shared" ca="1" si="19"/>
        <v>2.6307124599336515</v>
      </c>
      <c r="AG38">
        <f t="shared" ca="1" si="20"/>
        <v>3.1179533688933838</v>
      </c>
      <c r="AH38">
        <f t="shared" ca="1" si="21"/>
        <v>2.6855590404570275</v>
      </c>
      <c r="AI38">
        <f t="shared" ca="1" si="22"/>
        <v>3.8085557657574958</v>
      </c>
      <c r="AJ38">
        <f t="shared" ca="1" si="23"/>
        <v>2.3654832770403269</v>
      </c>
      <c r="AK38">
        <f t="shared" ca="1" si="24"/>
        <v>2.7734857317950934</v>
      </c>
      <c r="AL38">
        <f t="shared" ca="1" si="25"/>
        <v>3.0037940756324417</v>
      </c>
      <c r="AM38">
        <f t="shared" ca="1" si="26"/>
        <v>3.0498779697739988</v>
      </c>
      <c r="AN38">
        <f t="shared" ca="1" si="27"/>
        <v>2.8520879735533606</v>
      </c>
      <c r="AO38">
        <f t="shared" ca="1" si="28"/>
        <v>2.5589404474203126</v>
      </c>
      <c r="AP38">
        <f t="shared" ca="1" si="29"/>
        <v>3.2211069837573136</v>
      </c>
      <c r="AQ38">
        <f t="shared" ca="1" si="30"/>
        <v>2.5340311701033844</v>
      </c>
      <c r="AR38">
        <f t="shared" ca="1" si="31"/>
        <v>2.6377249993948815</v>
      </c>
      <c r="AS38">
        <f t="shared" ca="1" si="32"/>
        <v>3.7781384001499658</v>
      </c>
      <c r="AT38">
        <f t="shared" ca="1" si="33"/>
        <v>4.0675505986121818</v>
      </c>
      <c r="AU38">
        <f t="shared" ca="1" si="34"/>
        <v>2.7287773711130021</v>
      </c>
      <c r="AV38">
        <f t="shared" ca="1" si="35"/>
        <v>3.460654411606511</v>
      </c>
      <c r="AW38">
        <f t="shared" ca="1" si="36"/>
        <v>3.1777392655200671</v>
      </c>
      <c r="AX38">
        <f t="shared" ca="1" si="37"/>
        <v>3.2076499669171432</v>
      </c>
      <c r="AY38">
        <f t="shared" ca="1" si="38"/>
        <v>2.6471838648736252</v>
      </c>
      <c r="AZ38">
        <f t="shared" ca="1" si="39"/>
        <v>3.170365113752998</v>
      </c>
    </row>
    <row r="39" spans="2:52" x14ac:dyDescent="0.35">
      <c r="B39" s="3">
        <v>45743</v>
      </c>
      <c r="C39" s="4">
        <v>378.79998779296801</v>
      </c>
      <c r="D39">
        <f t="shared" si="0"/>
        <v>-3.4253510704073058E-2</v>
      </c>
      <c r="L39" t="s">
        <v>134</v>
      </c>
      <c r="M39">
        <f t="shared" ca="1" si="40"/>
        <v>2.4801009476446598</v>
      </c>
      <c r="N39">
        <f t="shared" ca="1" si="41"/>
        <v>3.1631860572081458</v>
      </c>
      <c r="O39">
        <f t="shared" ca="1" si="2"/>
        <v>3.4055359420051037</v>
      </c>
      <c r="P39">
        <f t="shared" ca="1" si="3"/>
        <v>2.7421650287119381</v>
      </c>
      <c r="Q39">
        <f t="shared" ca="1" si="4"/>
        <v>2.9256828105090023</v>
      </c>
      <c r="R39">
        <f t="shared" ca="1" si="5"/>
        <v>3.0321678245738037</v>
      </c>
      <c r="S39">
        <f t="shared" ca="1" si="6"/>
        <v>1.976342519207388</v>
      </c>
      <c r="T39">
        <f t="shared" ca="1" si="7"/>
        <v>3.4740175814640581</v>
      </c>
      <c r="U39">
        <f t="shared" ca="1" si="8"/>
        <v>2.833043660031807</v>
      </c>
      <c r="V39">
        <f t="shared" ca="1" si="9"/>
        <v>3.1664647167239326</v>
      </c>
      <c r="W39">
        <f t="shared" ca="1" si="10"/>
        <v>2.8513449466061096</v>
      </c>
      <c r="X39">
        <f t="shared" ca="1" si="11"/>
        <v>2.8421160043832288</v>
      </c>
      <c r="Y39">
        <f t="shared" ca="1" si="12"/>
        <v>2.6533838484371994</v>
      </c>
      <c r="Z39">
        <f t="shared" ca="1" si="13"/>
        <v>3.5113119240250623</v>
      </c>
      <c r="AA39">
        <f t="shared" ca="1" si="14"/>
        <v>2.5279671926757237</v>
      </c>
      <c r="AB39">
        <f t="shared" ca="1" si="15"/>
        <v>3.3525959790559599</v>
      </c>
      <c r="AC39">
        <f t="shared" ca="1" si="16"/>
        <v>2.7047910643213737</v>
      </c>
      <c r="AD39">
        <f t="shared" ca="1" si="17"/>
        <v>2.5519239515190133</v>
      </c>
      <c r="AE39">
        <f t="shared" ca="1" si="18"/>
        <v>2.4535986154851566</v>
      </c>
      <c r="AF39">
        <f t="shared" ca="1" si="19"/>
        <v>2.6020870614945184</v>
      </c>
      <c r="AG39">
        <f t="shared" ca="1" si="20"/>
        <v>3.0657940170517035</v>
      </c>
      <c r="AH39">
        <f t="shared" ca="1" si="21"/>
        <v>2.8255645862978414</v>
      </c>
      <c r="AI39">
        <f t="shared" ca="1" si="22"/>
        <v>3.7461025822598941</v>
      </c>
      <c r="AJ39">
        <f t="shared" ca="1" si="23"/>
        <v>2.3465056303750722</v>
      </c>
      <c r="AK39">
        <f t="shared" ca="1" si="24"/>
        <v>2.6989673782036934</v>
      </c>
      <c r="AL39">
        <f t="shared" ca="1" si="25"/>
        <v>3.1132102854541555</v>
      </c>
      <c r="AM39">
        <f t="shared" ca="1" si="26"/>
        <v>2.8864227277271528</v>
      </c>
      <c r="AN39">
        <f t="shared" ca="1" si="27"/>
        <v>2.8893129846777836</v>
      </c>
      <c r="AO39">
        <f t="shared" ca="1" si="28"/>
        <v>2.4744986482882778</v>
      </c>
      <c r="AP39">
        <f t="shared" ca="1" si="29"/>
        <v>3.1316980388917401</v>
      </c>
      <c r="AQ39">
        <f t="shared" ca="1" si="30"/>
        <v>2.595210922931853</v>
      </c>
      <c r="AR39">
        <f t="shared" ca="1" si="31"/>
        <v>2.5868494600639358</v>
      </c>
      <c r="AS39">
        <f t="shared" ca="1" si="32"/>
        <v>3.8038758552879792</v>
      </c>
      <c r="AT39">
        <f t="shared" ca="1" si="33"/>
        <v>4.0076089426579697</v>
      </c>
      <c r="AU39">
        <f t="shared" ca="1" si="34"/>
        <v>2.6558017192640135</v>
      </c>
      <c r="AV39">
        <f t="shared" ca="1" si="35"/>
        <v>3.5120877879284151</v>
      </c>
      <c r="AW39">
        <f t="shared" ca="1" si="36"/>
        <v>3.3247766571741115</v>
      </c>
      <c r="AX39">
        <f t="shared" ca="1" si="37"/>
        <v>3.1707695998188856</v>
      </c>
      <c r="AY39">
        <f t="shared" ca="1" si="38"/>
        <v>2.6596934509932115</v>
      </c>
      <c r="AZ39">
        <f t="shared" ca="1" si="39"/>
        <v>3.2236706143211524</v>
      </c>
    </row>
    <row r="40" spans="2:52" x14ac:dyDescent="0.35">
      <c r="B40" s="3">
        <v>45744</v>
      </c>
      <c r="C40" s="4">
        <v>379.95001220703102</v>
      </c>
      <c r="D40">
        <f t="shared" si="0"/>
        <v>3.0313681573972879E-3</v>
      </c>
      <c r="L40" t="s">
        <v>135</v>
      </c>
      <c r="M40">
        <f t="shared" ca="1" si="40"/>
        <v>2.4551740318930686</v>
      </c>
      <c r="N40">
        <f t="shared" ca="1" si="41"/>
        <v>3.1612833922498274</v>
      </c>
      <c r="O40">
        <f t="shared" ca="1" si="2"/>
        <v>3.3267548958272899</v>
      </c>
      <c r="P40">
        <f t="shared" ca="1" si="3"/>
        <v>2.8419957301384762</v>
      </c>
      <c r="Q40">
        <f t="shared" ca="1" si="4"/>
        <v>2.9483438339242083</v>
      </c>
      <c r="R40">
        <f t="shared" ca="1" si="5"/>
        <v>3.0426239477357688</v>
      </c>
      <c r="S40">
        <f t="shared" ca="1" si="6"/>
        <v>1.9328401512767801</v>
      </c>
      <c r="T40">
        <f t="shared" ca="1" si="7"/>
        <v>3.3755786424428957</v>
      </c>
      <c r="U40">
        <f t="shared" ca="1" si="8"/>
        <v>2.8948653266992794</v>
      </c>
      <c r="V40">
        <f t="shared" ca="1" si="9"/>
        <v>3.1025572202749125</v>
      </c>
      <c r="W40">
        <f t="shared" ca="1" si="10"/>
        <v>2.7908137105332034</v>
      </c>
      <c r="X40">
        <f t="shared" ca="1" si="11"/>
        <v>2.7568154190153495</v>
      </c>
      <c r="Y40">
        <f t="shared" ca="1" si="12"/>
        <v>2.7698367696968464</v>
      </c>
      <c r="Z40">
        <f t="shared" ca="1" si="13"/>
        <v>3.4423663747409452</v>
      </c>
      <c r="AA40">
        <f t="shared" ca="1" si="14"/>
        <v>2.4987444266118009</v>
      </c>
      <c r="AB40">
        <f t="shared" ca="1" si="15"/>
        <v>3.2337190315080204</v>
      </c>
      <c r="AC40">
        <f t="shared" ca="1" si="16"/>
        <v>2.7404416988362437</v>
      </c>
      <c r="AD40">
        <f t="shared" ca="1" si="17"/>
        <v>2.6028319014663164</v>
      </c>
      <c r="AE40">
        <f t="shared" ca="1" si="18"/>
        <v>2.4644766183624238</v>
      </c>
      <c r="AF40">
        <f t="shared" ca="1" si="19"/>
        <v>2.6407657750759914</v>
      </c>
      <c r="AG40">
        <f t="shared" ca="1" si="20"/>
        <v>3.2070706898148638</v>
      </c>
      <c r="AH40">
        <f t="shared" ca="1" si="21"/>
        <v>2.9681854706415733</v>
      </c>
      <c r="AI40">
        <f t="shared" ca="1" si="22"/>
        <v>3.7046762764574046</v>
      </c>
      <c r="AJ40">
        <f t="shared" ca="1" si="23"/>
        <v>2.3944730823928357</v>
      </c>
      <c r="AK40">
        <f t="shared" ca="1" si="24"/>
        <v>2.7793380133624255</v>
      </c>
      <c r="AL40">
        <f t="shared" ca="1" si="25"/>
        <v>3.1197985205998573</v>
      </c>
      <c r="AM40">
        <f t="shared" ca="1" si="26"/>
        <v>2.9202143675325951</v>
      </c>
      <c r="AN40">
        <f t="shared" ca="1" si="27"/>
        <v>2.783733299574028</v>
      </c>
      <c r="AO40">
        <f t="shared" ca="1" si="28"/>
        <v>2.4889788145596565</v>
      </c>
      <c r="AP40">
        <f t="shared" ca="1" si="29"/>
        <v>3.1682037076752949</v>
      </c>
      <c r="AQ40">
        <f t="shared" ca="1" si="30"/>
        <v>2.5670038841597522</v>
      </c>
      <c r="AR40">
        <f t="shared" ca="1" si="31"/>
        <v>2.5985064270570053</v>
      </c>
      <c r="AS40">
        <f t="shared" ca="1" si="32"/>
        <v>3.6593641490586317</v>
      </c>
      <c r="AT40">
        <f t="shared" ca="1" si="33"/>
        <v>4.0004079351251711</v>
      </c>
      <c r="AU40">
        <f t="shared" ca="1" si="34"/>
        <v>2.5816142546555509</v>
      </c>
      <c r="AV40">
        <f t="shared" ca="1" si="35"/>
        <v>3.4854580689656349</v>
      </c>
      <c r="AW40">
        <f t="shared" ca="1" si="36"/>
        <v>3.2507320326171238</v>
      </c>
      <c r="AX40">
        <f t="shared" ca="1" si="37"/>
        <v>3.0960106437487469</v>
      </c>
      <c r="AY40">
        <f t="shared" ca="1" si="38"/>
        <v>2.6738316292420996</v>
      </c>
      <c r="AZ40">
        <f t="shared" ca="1" si="39"/>
        <v>3.3251348200400308</v>
      </c>
    </row>
    <row r="41" spans="2:52" x14ac:dyDescent="0.35">
      <c r="B41" s="3">
        <v>45747</v>
      </c>
      <c r="C41" s="4">
        <v>379.75</v>
      </c>
      <c r="D41">
        <f t="shared" si="0"/>
        <v>-5.2655576790439475E-4</v>
      </c>
      <c r="L41" t="s">
        <v>136</v>
      </c>
      <c r="M41">
        <f t="shared" ca="1" si="40"/>
        <v>2.474482776351385</v>
      </c>
      <c r="N41">
        <f t="shared" ca="1" si="41"/>
        <v>3.2410693978622889</v>
      </c>
      <c r="O41">
        <f t="shared" ca="1" si="2"/>
        <v>3.2397069990834164</v>
      </c>
      <c r="P41">
        <f t="shared" ca="1" si="3"/>
        <v>2.8875165794523108</v>
      </c>
      <c r="Q41">
        <f t="shared" ca="1" si="4"/>
        <v>3.060018827694766</v>
      </c>
      <c r="R41">
        <f t="shared" ca="1" si="5"/>
        <v>3.1802066315594644</v>
      </c>
      <c r="S41">
        <f t="shared" ca="1" si="6"/>
        <v>2.0666419347172789</v>
      </c>
      <c r="T41">
        <f t="shared" ca="1" si="7"/>
        <v>3.3737792539846549</v>
      </c>
      <c r="U41">
        <f t="shared" ca="1" si="8"/>
        <v>3.0354674519184983</v>
      </c>
      <c r="V41">
        <f t="shared" ca="1" si="9"/>
        <v>3.0187953238890182</v>
      </c>
      <c r="W41">
        <f t="shared" ca="1" si="10"/>
        <v>2.8356634849024425</v>
      </c>
      <c r="X41">
        <f t="shared" ca="1" si="11"/>
        <v>2.774762376153241</v>
      </c>
      <c r="Y41">
        <f t="shared" ca="1" si="12"/>
        <v>2.7113381592147148</v>
      </c>
      <c r="Z41">
        <f t="shared" ca="1" si="13"/>
        <v>3.6466747419062293</v>
      </c>
      <c r="AA41">
        <f t="shared" ca="1" si="14"/>
        <v>2.5632194264126271</v>
      </c>
      <c r="AB41">
        <f t="shared" ca="1" si="15"/>
        <v>3.1988324464161311</v>
      </c>
      <c r="AC41">
        <f t="shared" ca="1" si="16"/>
        <v>2.8456803196909295</v>
      </c>
      <c r="AD41">
        <f t="shared" ca="1" si="17"/>
        <v>2.5663209459151197</v>
      </c>
      <c r="AE41">
        <f t="shared" ca="1" si="18"/>
        <v>2.4679000489577416</v>
      </c>
      <c r="AF41">
        <f t="shared" ca="1" si="19"/>
        <v>2.5829192585617231</v>
      </c>
      <c r="AG41">
        <f t="shared" ca="1" si="20"/>
        <v>3.1208724721671759</v>
      </c>
      <c r="AH41">
        <f t="shared" ca="1" si="21"/>
        <v>3.00791542626679</v>
      </c>
      <c r="AI41">
        <f t="shared" ca="1" si="22"/>
        <v>3.9266906596282785</v>
      </c>
      <c r="AJ41">
        <f t="shared" ca="1" si="23"/>
        <v>2.4175863520780116</v>
      </c>
      <c r="AK41">
        <f t="shared" ca="1" si="24"/>
        <v>2.7968432449508658</v>
      </c>
      <c r="AL41">
        <f t="shared" ca="1" si="25"/>
        <v>3.1300109261775271</v>
      </c>
      <c r="AM41">
        <f t="shared" ca="1" si="26"/>
        <v>3.0410274637197436</v>
      </c>
      <c r="AN41">
        <f t="shared" ca="1" si="27"/>
        <v>2.7428110611235419</v>
      </c>
      <c r="AO41">
        <f t="shared" ca="1" si="28"/>
        <v>2.4764206526970081</v>
      </c>
      <c r="AP41">
        <f t="shared" ca="1" si="29"/>
        <v>3.1366928081791374</v>
      </c>
      <c r="AQ41">
        <f t="shared" ca="1" si="30"/>
        <v>2.4884374930767748</v>
      </c>
      <c r="AR41">
        <f t="shared" ca="1" si="31"/>
        <v>2.6033003435778292</v>
      </c>
      <c r="AS41">
        <f t="shared" ca="1" si="32"/>
        <v>3.6230818664496471</v>
      </c>
      <c r="AT41">
        <f t="shared" ca="1" si="33"/>
        <v>4.0042387039587473</v>
      </c>
      <c r="AU41">
        <f t="shared" ca="1" si="34"/>
        <v>2.6724282786621112</v>
      </c>
      <c r="AV41">
        <f t="shared" ca="1" si="35"/>
        <v>3.490743862788221</v>
      </c>
      <c r="AW41">
        <f t="shared" ca="1" si="36"/>
        <v>3.1335301595481675</v>
      </c>
      <c r="AX41">
        <f t="shared" ca="1" si="37"/>
        <v>2.9993734310245181</v>
      </c>
      <c r="AY41">
        <f t="shared" ca="1" si="38"/>
        <v>2.5836958142507007</v>
      </c>
      <c r="AZ41">
        <f t="shared" ca="1" si="39"/>
        <v>3.4490107656921536</v>
      </c>
    </row>
    <row r="42" spans="2:52" x14ac:dyDescent="0.35">
      <c r="B42" s="3">
        <v>45748</v>
      </c>
      <c r="C42" s="4">
        <v>389.04998779296801</v>
      </c>
      <c r="D42">
        <f t="shared" si="0"/>
        <v>2.419469721054435E-2</v>
      </c>
      <c r="L42" t="s">
        <v>137</v>
      </c>
      <c r="M42">
        <f t="shared" ca="1" si="40"/>
        <v>2.4542155028681849</v>
      </c>
      <c r="N42">
        <f t="shared" ca="1" si="41"/>
        <v>3.183658382592327</v>
      </c>
      <c r="O42">
        <f t="shared" ca="1" si="2"/>
        <v>3.3708598924282955</v>
      </c>
      <c r="P42">
        <f t="shared" ca="1" si="3"/>
        <v>2.9620190200550263</v>
      </c>
      <c r="Q42">
        <f t="shared" ca="1" si="4"/>
        <v>3.135767382392892</v>
      </c>
      <c r="R42">
        <f t="shared" ca="1" si="5"/>
        <v>3.1402103083651722</v>
      </c>
      <c r="S42">
        <f t="shared" ca="1" si="6"/>
        <v>2.0046270974024436</v>
      </c>
      <c r="T42">
        <f t="shared" ca="1" si="7"/>
        <v>3.2584094915790427</v>
      </c>
      <c r="U42">
        <f t="shared" ca="1" si="8"/>
        <v>2.9861101641014738</v>
      </c>
      <c r="V42">
        <f t="shared" ca="1" si="9"/>
        <v>3.1417034310892618</v>
      </c>
      <c r="W42">
        <f t="shared" ca="1" si="10"/>
        <v>2.7325272646715768</v>
      </c>
      <c r="X42">
        <f t="shared" ca="1" si="11"/>
        <v>2.7915523643308635</v>
      </c>
      <c r="Y42">
        <f t="shared" ca="1" si="12"/>
        <v>2.7117128432842237</v>
      </c>
      <c r="Z42">
        <f t="shared" ca="1" si="13"/>
        <v>3.6343295072820592</v>
      </c>
      <c r="AA42">
        <f t="shared" ca="1" si="14"/>
        <v>2.5430446066159083</v>
      </c>
      <c r="AB42">
        <f t="shared" ca="1" si="15"/>
        <v>3.32468678892418</v>
      </c>
      <c r="AC42">
        <f t="shared" ca="1" si="16"/>
        <v>2.8447341172244562</v>
      </c>
      <c r="AD42">
        <f t="shared" ca="1" si="17"/>
        <v>2.6217768442819676</v>
      </c>
      <c r="AE42">
        <f t="shared" ca="1" si="18"/>
        <v>2.4679427435181576</v>
      </c>
      <c r="AF42">
        <f t="shared" ca="1" si="19"/>
        <v>2.6577746342470845</v>
      </c>
      <c r="AG42">
        <f t="shared" ca="1" si="20"/>
        <v>3.0930386355450392</v>
      </c>
      <c r="AH42">
        <f t="shared" ca="1" si="21"/>
        <v>3.1268453617758807</v>
      </c>
      <c r="AI42">
        <f t="shared" ca="1" si="22"/>
        <v>3.939166157900583</v>
      </c>
      <c r="AJ42">
        <f t="shared" ca="1" si="23"/>
        <v>2.3289497275691859</v>
      </c>
      <c r="AK42">
        <f t="shared" ca="1" si="24"/>
        <v>2.9554618020513344</v>
      </c>
      <c r="AL42">
        <f t="shared" ca="1" si="25"/>
        <v>3.1719822301222234</v>
      </c>
      <c r="AM42">
        <f t="shared" ca="1" si="26"/>
        <v>3.0791488596822214</v>
      </c>
      <c r="AN42">
        <f t="shared" ca="1" si="27"/>
        <v>2.719720721950186</v>
      </c>
      <c r="AO42">
        <f t="shared" ca="1" si="28"/>
        <v>2.4604792176228263</v>
      </c>
      <c r="AP42">
        <f t="shared" ca="1" si="29"/>
        <v>3.1139593958166656</v>
      </c>
      <c r="AQ42">
        <f t="shared" ca="1" si="30"/>
        <v>2.4581923651322919</v>
      </c>
      <c r="AR42">
        <f t="shared" ca="1" si="31"/>
        <v>2.6689666655093887</v>
      </c>
      <c r="AS42">
        <f t="shared" ca="1" si="32"/>
        <v>3.6122634374487426</v>
      </c>
      <c r="AT42">
        <f t="shared" ca="1" si="33"/>
        <v>3.9123882564089083</v>
      </c>
      <c r="AU42">
        <f t="shared" ca="1" si="34"/>
        <v>2.6931121349133629</v>
      </c>
      <c r="AV42">
        <f t="shared" ca="1" si="35"/>
        <v>3.584290313748681</v>
      </c>
      <c r="AW42">
        <f t="shared" ca="1" si="36"/>
        <v>3.2386013229036621</v>
      </c>
      <c r="AX42">
        <f t="shared" ca="1" si="37"/>
        <v>2.9080360022935752</v>
      </c>
      <c r="AY42">
        <f t="shared" ca="1" si="38"/>
        <v>2.6040840568916406</v>
      </c>
      <c r="AZ42">
        <f t="shared" ca="1" si="39"/>
        <v>3.4431190550504307</v>
      </c>
    </row>
    <row r="43" spans="2:52" x14ac:dyDescent="0.35">
      <c r="B43" s="3">
        <v>45749</v>
      </c>
      <c r="C43" s="4">
        <v>388.850006103515</v>
      </c>
      <c r="D43">
        <f t="shared" si="0"/>
        <v>-5.141578491519804E-4</v>
      </c>
      <c r="L43" t="s">
        <v>138</v>
      </c>
      <c r="M43">
        <f t="shared" ca="1" si="40"/>
        <v>2.520118696294392</v>
      </c>
      <c r="N43">
        <f t="shared" ca="1" si="41"/>
        <v>3.0861319584815976</v>
      </c>
      <c r="O43">
        <f t="shared" ca="1" si="2"/>
        <v>3.4012836790081211</v>
      </c>
      <c r="P43">
        <f t="shared" ca="1" si="3"/>
        <v>2.9451105982917927</v>
      </c>
      <c r="Q43">
        <f t="shared" ca="1" si="4"/>
        <v>3.1305834736090334</v>
      </c>
      <c r="R43">
        <f t="shared" ca="1" si="5"/>
        <v>3.0770489526004345</v>
      </c>
      <c r="S43">
        <f t="shared" ca="1" si="6"/>
        <v>2.0422322888224143</v>
      </c>
      <c r="T43">
        <f t="shared" ca="1" si="7"/>
        <v>3.1848350848545088</v>
      </c>
      <c r="U43">
        <f t="shared" ca="1" si="8"/>
        <v>3.0103671732643162</v>
      </c>
      <c r="V43">
        <f t="shared" ca="1" si="9"/>
        <v>3.1098327678941557</v>
      </c>
      <c r="W43">
        <f t="shared" ca="1" si="10"/>
        <v>2.7610690085321385</v>
      </c>
      <c r="X43">
        <f t="shared" ca="1" si="11"/>
        <v>2.763723370941213</v>
      </c>
      <c r="Y43">
        <f t="shared" ca="1" si="12"/>
        <v>2.6979207781651167</v>
      </c>
      <c r="Z43">
        <f t="shared" ca="1" si="13"/>
        <v>3.6867345992897436</v>
      </c>
      <c r="AA43">
        <f t="shared" ca="1" si="14"/>
        <v>2.5065561567516923</v>
      </c>
      <c r="AB43">
        <f t="shared" ca="1" si="15"/>
        <v>3.3377866238649299</v>
      </c>
      <c r="AC43">
        <f t="shared" ca="1" si="16"/>
        <v>2.8575618056270322</v>
      </c>
      <c r="AD43">
        <f t="shared" ca="1" si="17"/>
        <v>2.6781851278053983</v>
      </c>
      <c r="AE43">
        <f t="shared" ca="1" si="18"/>
        <v>2.4594424935817738</v>
      </c>
      <c r="AF43">
        <f t="shared" ca="1" si="19"/>
        <v>2.7145469206297705</v>
      </c>
      <c r="AG43">
        <f t="shared" ca="1" si="20"/>
        <v>3.2330598744074246</v>
      </c>
      <c r="AH43">
        <f t="shared" ca="1" si="21"/>
        <v>2.9724600436958717</v>
      </c>
      <c r="AI43">
        <f t="shared" ca="1" si="22"/>
        <v>3.831339213193973</v>
      </c>
      <c r="AJ43">
        <f t="shared" ca="1" si="23"/>
        <v>2.3278749105181324</v>
      </c>
      <c r="AK43">
        <f t="shared" ca="1" si="24"/>
        <v>2.8512140053929125</v>
      </c>
      <c r="AL43">
        <f t="shared" ca="1" si="25"/>
        <v>3.2011959238539052</v>
      </c>
      <c r="AM43">
        <f t="shared" ca="1" si="26"/>
        <v>3.0236074678085028</v>
      </c>
      <c r="AN43">
        <f t="shared" ca="1" si="27"/>
        <v>2.7465531072688991</v>
      </c>
      <c r="AO43">
        <f t="shared" ca="1" si="28"/>
        <v>2.3718379424564784</v>
      </c>
      <c r="AP43">
        <f t="shared" ca="1" si="29"/>
        <v>3.2349909338710661</v>
      </c>
      <c r="AQ43">
        <f t="shared" ca="1" si="30"/>
        <v>2.4370436725215665</v>
      </c>
      <c r="AR43">
        <f t="shared" ca="1" si="31"/>
        <v>2.6039377013831322</v>
      </c>
      <c r="AS43">
        <f t="shared" ca="1" si="32"/>
        <v>3.7750235761220043</v>
      </c>
      <c r="AT43">
        <f t="shared" ca="1" si="33"/>
        <v>3.7888677297763209</v>
      </c>
      <c r="AU43">
        <f t="shared" ca="1" si="34"/>
        <v>2.6858476788677268</v>
      </c>
      <c r="AV43">
        <f t="shared" ca="1" si="35"/>
        <v>3.5136484179416776</v>
      </c>
      <c r="AW43">
        <f t="shared" ca="1" si="36"/>
        <v>3.162669969909198</v>
      </c>
      <c r="AX43">
        <f t="shared" ca="1" si="37"/>
        <v>2.9717013555588743</v>
      </c>
      <c r="AY43">
        <f t="shared" ca="1" si="38"/>
        <v>2.5267385777543847</v>
      </c>
      <c r="AZ43">
        <f t="shared" ca="1" si="39"/>
        <v>3.2804240994491098</v>
      </c>
    </row>
    <row r="44" spans="2:52" x14ac:dyDescent="0.35">
      <c r="B44" s="3">
        <v>45750</v>
      </c>
      <c r="C44" s="4">
        <v>385.25</v>
      </c>
      <c r="D44">
        <f t="shared" si="0"/>
        <v>-9.301206637049508E-3</v>
      </c>
      <c r="L44" t="s">
        <v>139</v>
      </c>
      <c r="M44">
        <f t="shared" ca="1" si="40"/>
        <v>2.4528501748674318</v>
      </c>
      <c r="N44">
        <f t="shared" ca="1" si="41"/>
        <v>3.1250145439063473</v>
      </c>
      <c r="O44">
        <f t="shared" ca="1" si="2"/>
        <v>3.4546837972334474</v>
      </c>
      <c r="P44">
        <f t="shared" ca="1" si="3"/>
        <v>2.8325270713487751</v>
      </c>
      <c r="Q44">
        <f t="shared" ca="1" si="4"/>
        <v>3.1202540907890639</v>
      </c>
      <c r="R44">
        <f t="shared" ca="1" si="5"/>
        <v>3.1691281886003981</v>
      </c>
      <c r="S44">
        <f t="shared" ca="1" si="6"/>
        <v>1.987475587391756</v>
      </c>
      <c r="T44">
        <f t="shared" ca="1" si="7"/>
        <v>3.1181854460150884</v>
      </c>
      <c r="U44">
        <f t="shared" ca="1" si="8"/>
        <v>3.1041644490295472</v>
      </c>
      <c r="V44">
        <f t="shared" ca="1" si="9"/>
        <v>2.9331382205402421</v>
      </c>
      <c r="W44">
        <f t="shared" ca="1" si="10"/>
        <v>2.811596878091787</v>
      </c>
      <c r="X44">
        <f t="shared" ca="1" si="11"/>
        <v>2.8240112667668589</v>
      </c>
      <c r="Y44">
        <f t="shared" ca="1" si="12"/>
        <v>2.6516600905226628</v>
      </c>
      <c r="Z44">
        <f t="shared" ca="1" si="13"/>
        <v>3.6041801662634962</v>
      </c>
      <c r="AA44">
        <f t="shared" ca="1" si="14"/>
        <v>2.5444806956283466</v>
      </c>
      <c r="AB44">
        <f t="shared" ca="1" si="15"/>
        <v>3.3231663972518981</v>
      </c>
      <c r="AC44">
        <f t="shared" ca="1" si="16"/>
        <v>2.8469472821607651</v>
      </c>
      <c r="AD44">
        <f t="shared" ca="1" si="17"/>
        <v>2.6241297403639408</v>
      </c>
      <c r="AE44">
        <f t="shared" ca="1" si="18"/>
        <v>2.4342116071130837</v>
      </c>
      <c r="AF44">
        <f t="shared" ca="1" si="19"/>
        <v>2.860665308386563</v>
      </c>
      <c r="AG44">
        <f t="shared" ca="1" si="20"/>
        <v>3.2627464120661633</v>
      </c>
      <c r="AH44">
        <f t="shared" ca="1" si="21"/>
        <v>2.9770156537696897</v>
      </c>
      <c r="AI44">
        <f t="shared" ca="1" si="22"/>
        <v>3.9237037583679788</v>
      </c>
      <c r="AJ44">
        <f t="shared" ca="1" si="23"/>
        <v>2.3476818440419427</v>
      </c>
      <c r="AK44">
        <f t="shared" ca="1" si="24"/>
        <v>2.9266342377240622</v>
      </c>
      <c r="AL44">
        <f t="shared" ca="1" si="25"/>
        <v>3.3551594847439259</v>
      </c>
      <c r="AM44">
        <f t="shared" ca="1" si="26"/>
        <v>2.9161313309218926</v>
      </c>
      <c r="AN44">
        <f t="shared" ca="1" si="27"/>
        <v>2.6889322514927754</v>
      </c>
      <c r="AO44">
        <f t="shared" ca="1" si="28"/>
        <v>2.3717705723305644</v>
      </c>
      <c r="AP44">
        <f t="shared" ca="1" si="29"/>
        <v>3.2765904303972091</v>
      </c>
      <c r="AQ44">
        <f t="shared" ca="1" si="30"/>
        <v>2.5352739179532504</v>
      </c>
      <c r="AR44">
        <f t="shared" ca="1" si="31"/>
        <v>2.6723470976331836</v>
      </c>
      <c r="AS44">
        <f t="shared" ca="1" si="32"/>
        <v>3.879240315557837</v>
      </c>
      <c r="AT44">
        <f t="shared" ca="1" si="33"/>
        <v>3.7701759932255663</v>
      </c>
      <c r="AU44">
        <f t="shared" ca="1" si="34"/>
        <v>2.5121156723219702</v>
      </c>
      <c r="AV44">
        <f t="shared" ca="1" si="35"/>
        <v>3.5112967519627927</v>
      </c>
      <c r="AW44">
        <f t="shared" ca="1" si="36"/>
        <v>3.199751815690516</v>
      </c>
      <c r="AX44">
        <f t="shared" ca="1" si="37"/>
        <v>2.9464701919276775</v>
      </c>
      <c r="AY44">
        <f t="shared" ca="1" si="38"/>
        <v>2.6011566641860044</v>
      </c>
      <c r="AZ44">
        <f t="shared" ca="1" si="39"/>
        <v>3.3451677373757471</v>
      </c>
    </row>
    <row r="45" spans="2:52" x14ac:dyDescent="0.35">
      <c r="B45" s="3">
        <v>45751</v>
      </c>
      <c r="C45" s="4">
        <v>365.70001220703102</v>
      </c>
      <c r="D45">
        <f t="shared" si="0"/>
        <v>-5.2079115664985819E-2</v>
      </c>
      <c r="L45" t="s">
        <v>140</v>
      </c>
      <c r="M45">
        <f t="shared" ca="1" si="40"/>
        <v>2.4126867519129465</v>
      </c>
      <c r="N45">
        <f t="shared" ca="1" si="41"/>
        <v>3.1505281209021265</v>
      </c>
      <c r="O45">
        <f t="shared" ca="1" si="2"/>
        <v>3.3086108204861215</v>
      </c>
      <c r="P45">
        <f t="shared" ca="1" si="3"/>
        <v>2.8008342414331189</v>
      </c>
      <c r="Q45">
        <f t="shared" ca="1" si="4"/>
        <v>3.1373316169805281</v>
      </c>
      <c r="R45">
        <f t="shared" ca="1" si="5"/>
        <v>3.181817982297682</v>
      </c>
      <c r="S45">
        <f t="shared" ca="1" si="6"/>
        <v>1.9852027159564407</v>
      </c>
      <c r="T45">
        <f t="shared" ca="1" si="7"/>
        <v>3.1280716683975807</v>
      </c>
      <c r="U45">
        <f t="shared" ca="1" si="8"/>
        <v>3.1808867235761866</v>
      </c>
      <c r="V45">
        <f t="shared" ca="1" si="9"/>
        <v>2.9823076166822191</v>
      </c>
      <c r="W45">
        <f t="shared" ca="1" si="10"/>
        <v>2.8937005879618658</v>
      </c>
      <c r="X45">
        <f t="shared" ca="1" si="11"/>
        <v>2.721178900424214</v>
      </c>
      <c r="Y45">
        <f t="shared" ca="1" si="12"/>
        <v>2.6961198903534633</v>
      </c>
      <c r="Z45">
        <f t="shared" ca="1" si="13"/>
        <v>3.6623694399454281</v>
      </c>
      <c r="AA45">
        <f t="shared" ca="1" si="14"/>
        <v>2.4842291338417266</v>
      </c>
      <c r="AB45">
        <f t="shared" ca="1" si="15"/>
        <v>3.3677702708448165</v>
      </c>
      <c r="AC45">
        <f t="shared" ca="1" si="16"/>
        <v>2.7428945706874495</v>
      </c>
      <c r="AD45">
        <f t="shared" ca="1" si="17"/>
        <v>2.5549706108964996</v>
      </c>
      <c r="AE45">
        <f t="shared" ca="1" si="18"/>
        <v>2.3990319649110496</v>
      </c>
      <c r="AF45">
        <f t="shared" ca="1" si="19"/>
        <v>2.7722314549715485</v>
      </c>
      <c r="AG45">
        <f t="shared" ca="1" si="20"/>
        <v>3.404268791684161</v>
      </c>
      <c r="AH45">
        <f t="shared" ca="1" si="21"/>
        <v>2.9803115864471401</v>
      </c>
      <c r="AI45">
        <f t="shared" ca="1" si="22"/>
        <v>4.0460058072322926</v>
      </c>
      <c r="AJ45">
        <f t="shared" ca="1" si="23"/>
        <v>2.3139193970558316</v>
      </c>
      <c r="AK45">
        <f t="shared" ca="1" si="24"/>
        <v>2.798266115588691</v>
      </c>
      <c r="AL45">
        <f t="shared" ca="1" si="25"/>
        <v>3.5230168177705257</v>
      </c>
      <c r="AM45">
        <f t="shared" ca="1" si="26"/>
        <v>2.9458173204789584</v>
      </c>
      <c r="AN45">
        <f t="shared" ca="1" si="27"/>
        <v>2.8535612795694019</v>
      </c>
      <c r="AO45">
        <f t="shared" ca="1" si="28"/>
        <v>2.3569902278159049</v>
      </c>
      <c r="AP45">
        <f t="shared" ca="1" si="29"/>
        <v>3.3012826016313719</v>
      </c>
      <c r="AQ45">
        <f t="shared" ca="1" si="30"/>
        <v>2.5130162121600472</v>
      </c>
      <c r="AR45">
        <f t="shared" ca="1" si="31"/>
        <v>2.6410005011787807</v>
      </c>
      <c r="AS45">
        <f t="shared" ca="1" si="32"/>
        <v>3.8193976276714467</v>
      </c>
      <c r="AT45">
        <f t="shared" ca="1" si="33"/>
        <v>3.7341044259395577</v>
      </c>
      <c r="AU45">
        <f t="shared" ca="1" si="34"/>
        <v>2.5511254870330049</v>
      </c>
      <c r="AV45">
        <f t="shared" ca="1" si="35"/>
        <v>3.6886907194270595</v>
      </c>
      <c r="AW45">
        <f t="shared" ca="1" si="36"/>
        <v>3.1975747819887084</v>
      </c>
      <c r="AX45">
        <f t="shared" ca="1" si="37"/>
        <v>2.9058356028921088</v>
      </c>
      <c r="AY45">
        <f t="shared" ca="1" si="38"/>
        <v>2.5903899490805711</v>
      </c>
      <c r="AZ45">
        <f t="shared" ca="1" si="39"/>
        <v>3.434558113909338</v>
      </c>
    </row>
    <row r="46" spans="2:52" x14ac:dyDescent="0.35">
      <c r="B46" s="3">
        <v>45754</v>
      </c>
      <c r="C46" s="4">
        <v>344.79998779296801</v>
      </c>
      <c r="D46">
        <f t="shared" si="0"/>
        <v>-5.8848855148927008E-2</v>
      </c>
      <c r="L46" t="s">
        <v>141</v>
      </c>
      <c r="M46">
        <f t="shared" ca="1" si="40"/>
        <v>2.2833775809416315</v>
      </c>
      <c r="N46">
        <f t="shared" ca="1" si="41"/>
        <v>3.2547164043145602</v>
      </c>
      <c r="O46">
        <f t="shared" ca="1" si="2"/>
        <v>3.348008415406925</v>
      </c>
      <c r="P46">
        <f t="shared" ca="1" si="3"/>
        <v>2.772162015040764</v>
      </c>
      <c r="Q46">
        <f t="shared" ca="1" si="4"/>
        <v>3.19820110787541</v>
      </c>
      <c r="R46">
        <f t="shared" ca="1" si="5"/>
        <v>3.2219536440367365</v>
      </c>
      <c r="S46">
        <f t="shared" ca="1" si="6"/>
        <v>1.9395875076406155</v>
      </c>
      <c r="T46">
        <f t="shared" ca="1" si="7"/>
        <v>3.166996177407746</v>
      </c>
      <c r="U46">
        <f t="shared" ca="1" si="8"/>
        <v>3.1677348874330979</v>
      </c>
      <c r="V46">
        <f t="shared" ca="1" si="9"/>
        <v>2.9718375199749247</v>
      </c>
      <c r="W46">
        <f t="shared" ca="1" si="10"/>
        <v>2.7672524878643325</v>
      </c>
      <c r="X46">
        <f t="shared" ca="1" si="11"/>
        <v>2.7713637227245909</v>
      </c>
      <c r="Y46">
        <f t="shared" ca="1" si="12"/>
        <v>2.6118490696155119</v>
      </c>
      <c r="Z46">
        <f t="shared" ca="1" si="13"/>
        <v>3.5727388146639592</v>
      </c>
      <c r="AA46">
        <f t="shared" ca="1" si="14"/>
        <v>2.4864689405278573</v>
      </c>
      <c r="AB46">
        <f t="shared" ca="1" si="15"/>
        <v>3.3678537328245683</v>
      </c>
      <c r="AC46">
        <f t="shared" ca="1" si="16"/>
        <v>2.6295186848119783</v>
      </c>
      <c r="AD46">
        <f t="shared" ca="1" si="17"/>
        <v>2.5281535164854607</v>
      </c>
      <c r="AE46">
        <f t="shared" ca="1" si="18"/>
        <v>2.3608528928239898</v>
      </c>
      <c r="AF46">
        <f t="shared" ca="1" si="19"/>
        <v>2.771071023009116</v>
      </c>
      <c r="AG46">
        <f t="shared" ca="1" si="20"/>
        <v>3.2357914616769214</v>
      </c>
      <c r="AH46">
        <f t="shared" ca="1" si="21"/>
        <v>2.8108743069495339</v>
      </c>
      <c r="AI46">
        <f t="shared" ca="1" si="22"/>
        <v>4.0812585996549142</v>
      </c>
      <c r="AJ46">
        <f t="shared" ca="1" si="23"/>
        <v>2.2867263472790511</v>
      </c>
      <c r="AK46">
        <f t="shared" ca="1" si="24"/>
        <v>2.7999179768406064</v>
      </c>
      <c r="AL46">
        <f t="shared" ca="1" si="25"/>
        <v>3.3715406170117119</v>
      </c>
      <c r="AM46">
        <f t="shared" ca="1" si="26"/>
        <v>2.9255343298883729</v>
      </c>
      <c r="AN46">
        <f t="shared" ca="1" si="27"/>
        <v>2.8914306726225414</v>
      </c>
      <c r="AO46">
        <f t="shared" ca="1" si="28"/>
        <v>2.4026877540682587</v>
      </c>
      <c r="AP46">
        <f t="shared" ca="1" si="29"/>
        <v>3.1822523103416089</v>
      </c>
      <c r="AQ46">
        <f t="shared" ca="1" si="30"/>
        <v>2.4752268922971363</v>
      </c>
      <c r="AR46">
        <f t="shared" ca="1" si="31"/>
        <v>2.5779026615100138</v>
      </c>
      <c r="AS46">
        <f t="shared" ca="1" si="32"/>
        <v>3.7862099553568087</v>
      </c>
      <c r="AT46">
        <f t="shared" ca="1" si="33"/>
        <v>3.7741969494485699</v>
      </c>
      <c r="AU46">
        <f t="shared" ca="1" si="34"/>
        <v>2.5672642757873736</v>
      </c>
      <c r="AV46">
        <f t="shared" ca="1" si="35"/>
        <v>3.695140397165714</v>
      </c>
      <c r="AW46">
        <f t="shared" ca="1" si="36"/>
        <v>3.1491062323611905</v>
      </c>
      <c r="AX46">
        <f t="shared" ca="1" si="37"/>
        <v>2.871446115036564</v>
      </c>
      <c r="AY46">
        <f t="shared" ca="1" si="38"/>
        <v>2.5943664001340636</v>
      </c>
      <c r="AZ46">
        <f t="shared" ca="1" si="39"/>
        <v>3.4074532182149651</v>
      </c>
    </row>
    <row r="47" spans="2:52" x14ac:dyDescent="0.35">
      <c r="B47" s="3">
        <v>45755</v>
      </c>
      <c r="C47" s="4">
        <v>342.89999389648398</v>
      </c>
      <c r="D47">
        <f t="shared" si="0"/>
        <v>-5.5256617171346853E-3</v>
      </c>
      <c r="L47" t="s">
        <v>142</v>
      </c>
      <c r="M47">
        <f t="shared" ca="1" si="40"/>
        <v>2.2658291931906898</v>
      </c>
      <c r="N47">
        <f t="shared" ca="1" si="41"/>
        <v>3.2742262680780638</v>
      </c>
      <c r="O47">
        <f t="shared" ca="1" si="2"/>
        <v>3.2293450718099428</v>
      </c>
      <c r="P47">
        <f t="shared" ca="1" si="3"/>
        <v>2.7497364889367581</v>
      </c>
      <c r="Q47">
        <f t="shared" ca="1" si="4"/>
        <v>3.1256894275989979</v>
      </c>
      <c r="R47">
        <f t="shared" ca="1" si="5"/>
        <v>3.1532762907753202</v>
      </c>
      <c r="S47">
        <f t="shared" ca="1" si="6"/>
        <v>1.8886400971917243</v>
      </c>
      <c r="T47">
        <f t="shared" ca="1" si="7"/>
        <v>3.0897196973661978</v>
      </c>
      <c r="U47">
        <f t="shared" ca="1" si="8"/>
        <v>3.185654515453952</v>
      </c>
      <c r="V47">
        <f t="shared" ca="1" si="9"/>
        <v>3.0535038832624819</v>
      </c>
      <c r="W47">
        <f t="shared" ca="1" si="10"/>
        <v>2.6893582116983774</v>
      </c>
      <c r="X47">
        <f t="shared" ca="1" si="11"/>
        <v>2.8562164686200293</v>
      </c>
      <c r="Y47">
        <f t="shared" ca="1" si="12"/>
        <v>2.6391222003949846</v>
      </c>
      <c r="Z47">
        <f t="shared" ca="1" si="13"/>
        <v>3.6424171831513479</v>
      </c>
      <c r="AA47">
        <f t="shared" ca="1" si="14"/>
        <v>2.5163153142997823</v>
      </c>
      <c r="AB47">
        <f t="shared" ca="1" si="15"/>
        <v>3.4837206389619104</v>
      </c>
      <c r="AC47">
        <f t="shared" ca="1" si="16"/>
        <v>2.6397626545875621</v>
      </c>
      <c r="AD47">
        <f t="shared" ca="1" si="17"/>
        <v>2.4343074108309946</v>
      </c>
      <c r="AE47">
        <f t="shared" ca="1" si="18"/>
        <v>2.2929290113861169</v>
      </c>
      <c r="AF47">
        <f t="shared" ca="1" si="19"/>
        <v>2.901030278137009</v>
      </c>
      <c r="AG47">
        <f t="shared" ca="1" si="20"/>
        <v>3.2147189003127279</v>
      </c>
      <c r="AH47">
        <f t="shared" ca="1" si="21"/>
        <v>2.7391322565413936</v>
      </c>
      <c r="AI47">
        <f t="shared" ca="1" si="22"/>
        <v>4.3103325496009859</v>
      </c>
      <c r="AJ47">
        <f t="shared" ca="1" si="23"/>
        <v>2.3564234995583093</v>
      </c>
      <c r="AK47">
        <f t="shared" ca="1" si="24"/>
        <v>2.8533683325603834</v>
      </c>
      <c r="AL47">
        <f t="shared" ca="1" si="25"/>
        <v>3.3712227634513634</v>
      </c>
      <c r="AM47">
        <f t="shared" ca="1" si="26"/>
        <v>2.9664866505769805</v>
      </c>
      <c r="AN47">
        <f t="shared" ca="1" si="27"/>
        <v>2.8867535086580043</v>
      </c>
      <c r="AO47">
        <f t="shared" ca="1" si="28"/>
        <v>2.3881411872183924</v>
      </c>
      <c r="AP47">
        <f t="shared" ca="1" si="29"/>
        <v>3.2054334271948388</v>
      </c>
      <c r="AQ47">
        <f t="shared" ca="1" si="30"/>
        <v>2.5616678472293621</v>
      </c>
      <c r="AR47">
        <f t="shared" ca="1" si="31"/>
        <v>2.5131720451811441</v>
      </c>
      <c r="AS47">
        <f t="shared" ca="1" si="32"/>
        <v>3.847262590539037</v>
      </c>
      <c r="AT47">
        <f t="shared" ca="1" si="33"/>
        <v>3.7261412255564417</v>
      </c>
      <c r="AU47">
        <f t="shared" ca="1" si="34"/>
        <v>2.6957527475735508</v>
      </c>
      <c r="AV47">
        <f t="shared" ca="1" si="35"/>
        <v>3.7604331376628028</v>
      </c>
      <c r="AW47">
        <f t="shared" ca="1" si="36"/>
        <v>3.2743825277764347</v>
      </c>
      <c r="AX47">
        <f t="shared" ca="1" si="37"/>
        <v>2.8121204601595156</v>
      </c>
      <c r="AY47">
        <f t="shared" ca="1" si="38"/>
        <v>2.5477431345844539</v>
      </c>
      <c r="AZ47">
        <f t="shared" ca="1" si="39"/>
        <v>3.3879752318365113</v>
      </c>
    </row>
    <row r="48" spans="2:52" x14ac:dyDescent="0.35">
      <c r="B48" s="3">
        <v>45756</v>
      </c>
      <c r="C48" s="4">
        <v>341.70001220703102</v>
      </c>
      <c r="D48">
        <f t="shared" si="0"/>
        <v>-3.5056468235218751E-3</v>
      </c>
      <c r="L48" t="s">
        <v>143</v>
      </c>
      <c r="M48">
        <f t="shared" ca="1" si="40"/>
        <v>2.298698775357626</v>
      </c>
      <c r="N48">
        <f t="shared" ca="1" si="41"/>
        <v>3.3322344612253292</v>
      </c>
      <c r="O48">
        <f t="shared" ca="1" si="2"/>
        <v>3.1199218041423475</v>
      </c>
      <c r="P48">
        <f t="shared" ca="1" si="3"/>
        <v>2.7514644591648389</v>
      </c>
      <c r="Q48">
        <f t="shared" ca="1" si="4"/>
        <v>3.0858431850198667</v>
      </c>
      <c r="R48">
        <f t="shared" ca="1" si="5"/>
        <v>3.4325248743452224</v>
      </c>
      <c r="S48">
        <f t="shared" ca="1" si="6"/>
        <v>1.8606757253651542</v>
      </c>
      <c r="T48">
        <f t="shared" ca="1" si="7"/>
        <v>3.1816604928985415</v>
      </c>
      <c r="U48">
        <f t="shared" ca="1" si="8"/>
        <v>3.0576397986215635</v>
      </c>
      <c r="V48">
        <f t="shared" ca="1" si="9"/>
        <v>2.8956618418928093</v>
      </c>
      <c r="W48">
        <f t="shared" ca="1" si="10"/>
        <v>2.7776792519574847</v>
      </c>
      <c r="X48">
        <f t="shared" ca="1" si="11"/>
        <v>2.8378242081126888</v>
      </c>
      <c r="Y48">
        <f t="shared" ca="1" si="12"/>
        <v>2.6793881834684723</v>
      </c>
      <c r="Z48">
        <f t="shared" ca="1" si="13"/>
        <v>3.5388385963764328</v>
      </c>
      <c r="AA48">
        <f t="shared" ca="1" si="14"/>
        <v>2.622564877991151</v>
      </c>
      <c r="AB48">
        <f t="shared" ca="1" si="15"/>
        <v>3.3688144430062708</v>
      </c>
      <c r="AC48">
        <f t="shared" ca="1" si="16"/>
        <v>2.6588392821366877</v>
      </c>
      <c r="AD48">
        <f t="shared" ca="1" si="17"/>
        <v>2.3186791193141976</v>
      </c>
      <c r="AE48">
        <f t="shared" ca="1" si="18"/>
        <v>2.3551787979334433</v>
      </c>
      <c r="AF48">
        <f t="shared" ca="1" si="19"/>
        <v>2.8903892963072875</v>
      </c>
      <c r="AG48">
        <f t="shared" ca="1" si="20"/>
        <v>3.1614708649049854</v>
      </c>
      <c r="AH48">
        <f t="shared" ca="1" si="21"/>
        <v>2.6958021991630381</v>
      </c>
      <c r="AI48">
        <f t="shared" ca="1" si="22"/>
        <v>4.3238825525505264</v>
      </c>
      <c r="AJ48">
        <f t="shared" ca="1" si="23"/>
        <v>2.3850366240908256</v>
      </c>
      <c r="AK48">
        <f t="shared" ca="1" si="24"/>
        <v>2.7744417630535172</v>
      </c>
      <c r="AL48">
        <f t="shared" ca="1" si="25"/>
        <v>3.2872935823673561</v>
      </c>
      <c r="AM48">
        <f t="shared" ca="1" si="26"/>
        <v>3.0547022808725921</v>
      </c>
      <c r="AN48">
        <f t="shared" ca="1" si="27"/>
        <v>2.8669155759856042</v>
      </c>
      <c r="AO48">
        <f t="shared" ca="1" si="28"/>
        <v>2.4477268415031399</v>
      </c>
      <c r="AP48">
        <f t="shared" ca="1" si="29"/>
        <v>3.1209361098991195</v>
      </c>
      <c r="AQ48">
        <f t="shared" ca="1" si="30"/>
        <v>2.60131050569961</v>
      </c>
      <c r="AR48">
        <f t="shared" ca="1" si="31"/>
        <v>2.5599872349392649</v>
      </c>
      <c r="AS48">
        <f t="shared" ca="1" si="32"/>
        <v>3.958125847582739</v>
      </c>
      <c r="AT48">
        <f t="shared" ca="1" si="33"/>
        <v>3.6710797144545504</v>
      </c>
      <c r="AU48">
        <f t="shared" ca="1" si="34"/>
        <v>2.7629684725626253</v>
      </c>
      <c r="AV48">
        <f t="shared" ca="1" si="35"/>
        <v>3.6231635622638305</v>
      </c>
      <c r="AW48">
        <f t="shared" ca="1" si="36"/>
        <v>3.3694649522147442</v>
      </c>
      <c r="AX48">
        <f t="shared" ca="1" si="37"/>
        <v>2.8020870322228624</v>
      </c>
      <c r="AY48">
        <f t="shared" ca="1" si="38"/>
        <v>2.4316905659826418</v>
      </c>
      <c r="AZ48">
        <f t="shared" ca="1" si="39"/>
        <v>3.2580195229229227</v>
      </c>
    </row>
    <row r="49" spans="2:52" x14ac:dyDescent="0.35">
      <c r="B49" s="3">
        <v>45757</v>
      </c>
      <c r="C49" s="4">
        <v>342.850006103515</v>
      </c>
      <c r="D49">
        <f t="shared" si="0"/>
        <v>3.3598566870071513E-3</v>
      </c>
      <c r="L49" t="s">
        <v>144</v>
      </c>
      <c r="M49">
        <f t="shared" ca="1" si="40"/>
        <v>2.3067316920837024</v>
      </c>
      <c r="N49">
        <f t="shared" ca="1" si="41"/>
        <v>3.2600667478638101</v>
      </c>
      <c r="O49">
        <f t="shared" ca="1" si="2"/>
        <v>3.1593076867546719</v>
      </c>
      <c r="P49">
        <f t="shared" ca="1" si="3"/>
        <v>2.7403161998748762</v>
      </c>
      <c r="Q49">
        <f t="shared" ca="1" si="4"/>
        <v>3.141097543685571</v>
      </c>
      <c r="R49">
        <f t="shared" ca="1" si="5"/>
        <v>3.3834821418042331</v>
      </c>
      <c r="S49">
        <f t="shared" ca="1" si="6"/>
        <v>1.8446888147344012</v>
      </c>
      <c r="T49">
        <f t="shared" ca="1" si="7"/>
        <v>3.2217277871079393</v>
      </c>
      <c r="U49">
        <f t="shared" ca="1" si="8"/>
        <v>3.1437290975948118</v>
      </c>
      <c r="V49">
        <f t="shared" ca="1" si="9"/>
        <v>2.9295961452251991</v>
      </c>
      <c r="W49">
        <f t="shared" ca="1" si="10"/>
        <v>2.6364031857951691</v>
      </c>
      <c r="X49">
        <f t="shared" ca="1" si="11"/>
        <v>2.8153741930419756</v>
      </c>
      <c r="Y49">
        <f t="shared" ca="1" si="12"/>
        <v>2.6520610773702438</v>
      </c>
      <c r="Z49">
        <f t="shared" ca="1" si="13"/>
        <v>3.4444408754058147</v>
      </c>
      <c r="AA49">
        <f t="shared" ca="1" si="14"/>
        <v>2.6759933720254843</v>
      </c>
      <c r="AB49">
        <f t="shared" ca="1" si="15"/>
        <v>3.3255980585795899</v>
      </c>
      <c r="AC49">
        <f t="shared" ca="1" si="16"/>
        <v>2.6248678191128008</v>
      </c>
      <c r="AD49">
        <f t="shared" ca="1" si="17"/>
        <v>2.3220150322065352</v>
      </c>
      <c r="AE49">
        <f t="shared" ca="1" si="18"/>
        <v>2.4516334021948762</v>
      </c>
      <c r="AF49">
        <f t="shared" ca="1" si="19"/>
        <v>2.8030933225981052</v>
      </c>
      <c r="AG49">
        <f t="shared" ca="1" si="20"/>
        <v>3.1149986490416417</v>
      </c>
      <c r="AH49">
        <f t="shared" ca="1" si="21"/>
        <v>2.7474580391203087</v>
      </c>
      <c r="AI49">
        <f t="shared" ca="1" si="22"/>
        <v>4.4911806657621263</v>
      </c>
      <c r="AJ49">
        <f t="shared" ca="1" si="23"/>
        <v>2.4771984783708723</v>
      </c>
      <c r="AK49">
        <f t="shared" ca="1" si="24"/>
        <v>2.7364813077713497</v>
      </c>
      <c r="AL49">
        <f t="shared" ca="1" si="25"/>
        <v>3.2635215995442231</v>
      </c>
      <c r="AM49">
        <f t="shared" ca="1" si="26"/>
        <v>3.1826001191497131</v>
      </c>
      <c r="AN49">
        <f t="shared" ca="1" si="27"/>
        <v>2.8466311125596735</v>
      </c>
      <c r="AO49">
        <f t="shared" ca="1" si="28"/>
        <v>2.4558539311025953</v>
      </c>
      <c r="AP49">
        <f t="shared" ca="1" si="29"/>
        <v>3.2350306226601813</v>
      </c>
      <c r="AQ49">
        <f t="shared" ca="1" si="30"/>
        <v>2.6681396671967947</v>
      </c>
      <c r="AR49">
        <f t="shared" ca="1" si="31"/>
        <v>2.5463003527295909</v>
      </c>
      <c r="AS49">
        <f t="shared" ca="1" si="32"/>
        <v>3.889370044150867</v>
      </c>
      <c r="AT49">
        <f t="shared" ca="1" si="33"/>
        <v>3.696244162298469</v>
      </c>
      <c r="AU49">
        <f t="shared" ca="1" si="34"/>
        <v>2.774629842497724</v>
      </c>
      <c r="AV49">
        <f t="shared" ca="1" si="35"/>
        <v>3.586152262276201</v>
      </c>
      <c r="AW49">
        <f t="shared" ca="1" si="36"/>
        <v>3.3104736869375908</v>
      </c>
      <c r="AX49">
        <f t="shared" ca="1" si="37"/>
        <v>2.7880918762831288</v>
      </c>
      <c r="AY49">
        <f t="shared" ca="1" si="38"/>
        <v>2.4488911044281125</v>
      </c>
      <c r="AZ49">
        <f t="shared" ca="1" si="39"/>
        <v>3.2392543705982391</v>
      </c>
    </row>
    <row r="50" spans="2:52" x14ac:dyDescent="0.35">
      <c r="B50" s="3">
        <v>45758</v>
      </c>
      <c r="C50" s="4">
        <v>357.70001220703102</v>
      </c>
      <c r="D50">
        <f t="shared" si="0"/>
        <v>4.2401628858758228E-2</v>
      </c>
      <c r="L50" t="s">
        <v>145</v>
      </c>
      <c r="M50">
        <f t="shared" ca="1" si="40"/>
        <v>2.2655528689870703</v>
      </c>
      <c r="N50">
        <f t="shared" ca="1" si="41"/>
        <v>3.2668888403010086</v>
      </c>
      <c r="O50">
        <f t="shared" ca="1" si="2"/>
        <v>3.1707751497676826</v>
      </c>
      <c r="P50">
        <f t="shared" ca="1" si="3"/>
        <v>2.8030495936024828</v>
      </c>
      <c r="Q50">
        <f t="shared" ca="1" si="4"/>
        <v>3.1659351092906411</v>
      </c>
      <c r="R50">
        <f t="shared" ca="1" si="5"/>
        <v>3.3262654415631983</v>
      </c>
      <c r="S50">
        <f t="shared" ca="1" si="6"/>
        <v>1.7868617380414336</v>
      </c>
      <c r="T50">
        <f t="shared" ca="1" si="7"/>
        <v>3.1518725343080916</v>
      </c>
      <c r="U50">
        <f t="shared" ca="1" si="8"/>
        <v>3.1183505107015637</v>
      </c>
      <c r="V50">
        <f t="shared" ca="1" si="9"/>
        <v>2.9349805137465843</v>
      </c>
      <c r="W50">
        <f t="shared" ca="1" si="10"/>
        <v>2.6996184210344363</v>
      </c>
      <c r="X50">
        <f t="shared" ca="1" si="11"/>
        <v>2.8717391351890944</v>
      </c>
      <c r="Y50">
        <f t="shared" ca="1" si="12"/>
        <v>2.5798839775836573</v>
      </c>
      <c r="Z50">
        <f t="shared" ca="1" si="13"/>
        <v>3.3890927169734777</v>
      </c>
      <c r="AA50">
        <f t="shared" ca="1" si="14"/>
        <v>2.7024636378655758</v>
      </c>
      <c r="AB50">
        <f t="shared" ca="1" si="15"/>
        <v>3.3251377995333775</v>
      </c>
      <c r="AC50">
        <f t="shared" ca="1" si="16"/>
        <v>2.5166139942959784</v>
      </c>
      <c r="AD50">
        <f t="shared" ca="1" si="17"/>
        <v>2.3492491242900737</v>
      </c>
      <c r="AE50">
        <f t="shared" ca="1" si="18"/>
        <v>2.3325691642369804</v>
      </c>
      <c r="AF50">
        <f t="shared" ca="1" si="19"/>
        <v>2.6450405739010368</v>
      </c>
      <c r="AG50">
        <f t="shared" ca="1" si="20"/>
        <v>3.1007195022165006</v>
      </c>
      <c r="AH50">
        <f t="shared" ca="1" si="21"/>
        <v>2.80932653100299</v>
      </c>
      <c r="AI50">
        <f t="shared" ca="1" si="22"/>
        <v>4.513068831701367</v>
      </c>
      <c r="AJ50">
        <f t="shared" ca="1" si="23"/>
        <v>2.4440647124541224</v>
      </c>
      <c r="AK50">
        <f t="shared" ca="1" si="24"/>
        <v>2.8165094312218448</v>
      </c>
      <c r="AL50">
        <f t="shared" ca="1" si="25"/>
        <v>3.2274126131695913</v>
      </c>
      <c r="AM50">
        <f t="shared" ca="1" si="26"/>
        <v>3.1341715312040286</v>
      </c>
      <c r="AN50">
        <f t="shared" ca="1" si="27"/>
        <v>2.9007272459557916</v>
      </c>
      <c r="AO50">
        <f t="shared" ca="1" si="28"/>
        <v>2.4627613828808101</v>
      </c>
      <c r="AP50">
        <f t="shared" ca="1" si="29"/>
        <v>3.0834951454639179</v>
      </c>
      <c r="AQ50">
        <f t="shared" ca="1" si="30"/>
        <v>2.6962469599983678</v>
      </c>
      <c r="AR50">
        <f t="shared" ca="1" si="31"/>
        <v>2.5578186854930043</v>
      </c>
      <c r="AS50">
        <f t="shared" ca="1" si="32"/>
        <v>3.9300699146721105</v>
      </c>
      <c r="AT50">
        <f t="shared" ca="1" si="33"/>
        <v>3.8645374944801851</v>
      </c>
      <c r="AU50">
        <f t="shared" ca="1" si="34"/>
        <v>2.8665313648176696</v>
      </c>
      <c r="AV50">
        <f t="shared" ca="1" si="35"/>
        <v>3.5922174250052001</v>
      </c>
      <c r="AW50">
        <f t="shared" ca="1" si="36"/>
        <v>3.3962933487341109</v>
      </c>
      <c r="AX50">
        <f t="shared" ca="1" si="37"/>
        <v>2.82742897141899</v>
      </c>
      <c r="AY50">
        <f t="shared" ca="1" si="38"/>
        <v>2.4735463513627853</v>
      </c>
      <c r="AZ50">
        <f t="shared" ca="1" si="39"/>
        <v>3.180064567291816</v>
      </c>
    </row>
    <row r="51" spans="2:52" x14ac:dyDescent="0.35">
      <c r="B51" s="3">
        <v>45761</v>
      </c>
      <c r="C51" s="4">
        <v>360.39999389648398</v>
      </c>
      <c r="D51">
        <f t="shared" si="0"/>
        <v>7.5198284073676293E-3</v>
      </c>
      <c r="L51" t="s">
        <v>146</v>
      </c>
      <c r="M51">
        <f t="shared" ca="1" si="40"/>
        <v>2.2730275241319959</v>
      </c>
      <c r="N51">
        <f t="shared" ca="1" si="41"/>
        <v>3.2618434415037227</v>
      </c>
      <c r="O51">
        <f t="shared" ca="1" si="2"/>
        <v>3.1982707905840129</v>
      </c>
      <c r="P51">
        <f t="shared" ca="1" si="3"/>
        <v>2.8690034942812948</v>
      </c>
      <c r="Q51">
        <f t="shared" ca="1" si="4"/>
        <v>3.1345369241664338</v>
      </c>
      <c r="R51">
        <f t="shared" ca="1" si="5"/>
        <v>3.4017166593824277</v>
      </c>
      <c r="S51">
        <f t="shared" ca="1" si="6"/>
        <v>1.8298859402555898</v>
      </c>
      <c r="T51">
        <f t="shared" ca="1" si="7"/>
        <v>3.2959025099668673</v>
      </c>
      <c r="U51">
        <f t="shared" ca="1" si="8"/>
        <v>3.0598765291190162</v>
      </c>
      <c r="V51">
        <f t="shared" ca="1" si="9"/>
        <v>2.8563020597017625</v>
      </c>
      <c r="W51">
        <f t="shared" ca="1" si="10"/>
        <v>2.7300668530661221</v>
      </c>
      <c r="X51">
        <f t="shared" ca="1" si="11"/>
        <v>2.9392725753339515</v>
      </c>
      <c r="Y51">
        <f t="shared" ca="1" si="12"/>
        <v>2.4450399750382137</v>
      </c>
      <c r="Z51">
        <f t="shared" ca="1" si="13"/>
        <v>3.4130639795184901</v>
      </c>
      <c r="AA51">
        <f t="shared" ca="1" si="14"/>
        <v>2.5966667518905928</v>
      </c>
      <c r="AB51">
        <f t="shared" ca="1" si="15"/>
        <v>3.313093384059993</v>
      </c>
      <c r="AC51">
        <f t="shared" ca="1" si="16"/>
        <v>2.4933887306569598</v>
      </c>
      <c r="AD51">
        <f t="shared" ca="1" si="17"/>
        <v>2.3121452771438986</v>
      </c>
      <c r="AE51">
        <f t="shared" ca="1" si="18"/>
        <v>2.4058377229704329</v>
      </c>
      <c r="AF51">
        <f t="shared" ca="1" si="19"/>
        <v>2.5876468042022567</v>
      </c>
      <c r="AG51">
        <f t="shared" ca="1" si="20"/>
        <v>3.1297309206166473</v>
      </c>
      <c r="AH51">
        <f t="shared" ca="1" si="21"/>
        <v>2.822517224683518</v>
      </c>
      <c r="AI51">
        <f t="shared" ca="1" si="22"/>
        <v>4.5320010173142089</v>
      </c>
      <c r="AJ51">
        <f t="shared" ca="1" si="23"/>
        <v>2.4438737391227017</v>
      </c>
      <c r="AK51">
        <f t="shared" ca="1" si="24"/>
        <v>2.844447081999768</v>
      </c>
      <c r="AL51">
        <f t="shared" ca="1" si="25"/>
        <v>3.2166844430998176</v>
      </c>
      <c r="AM51">
        <f t="shared" ca="1" si="26"/>
        <v>3.1610907183403842</v>
      </c>
      <c r="AN51">
        <f t="shared" ca="1" si="27"/>
        <v>2.7968310152886766</v>
      </c>
      <c r="AO51">
        <f t="shared" ca="1" si="28"/>
        <v>2.5431166080652328</v>
      </c>
      <c r="AP51">
        <f t="shared" ca="1" si="29"/>
        <v>3.2590442598202132</v>
      </c>
      <c r="AQ51">
        <f t="shared" ca="1" si="30"/>
        <v>2.7246435194705416</v>
      </c>
      <c r="AR51">
        <f t="shared" ca="1" si="31"/>
        <v>2.4836326768069692</v>
      </c>
      <c r="AS51">
        <f t="shared" ca="1" si="32"/>
        <v>4.0560993478388259</v>
      </c>
      <c r="AT51">
        <f t="shared" ca="1" si="33"/>
        <v>3.8319237161123838</v>
      </c>
      <c r="AU51">
        <f t="shared" ca="1" si="34"/>
        <v>3.0200961527518793</v>
      </c>
      <c r="AV51">
        <f t="shared" ca="1" si="35"/>
        <v>3.5044979610938745</v>
      </c>
      <c r="AW51">
        <f t="shared" ca="1" si="36"/>
        <v>3.3359107303828797</v>
      </c>
      <c r="AX51">
        <f t="shared" ca="1" si="37"/>
        <v>2.78876977129128</v>
      </c>
      <c r="AY51">
        <f t="shared" ca="1" si="38"/>
        <v>2.4863179586543227</v>
      </c>
      <c r="AZ51">
        <f t="shared" ca="1" si="39"/>
        <v>3.249550923007118</v>
      </c>
    </row>
    <row r="52" spans="2:52" x14ac:dyDescent="0.35">
      <c r="B52" s="3">
        <v>45762</v>
      </c>
      <c r="C52" s="4">
        <v>369.39999389648398</v>
      </c>
      <c r="D52">
        <f t="shared" si="0"/>
        <v>2.4665542443567789E-2</v>
      </c>
      <c r="L52" t="s">
        <v>147</v>
      </c>
      <c r="M52">
        <f t="shared" ca="1" si="40"/>
        <v>2.2135321077288403</v>
      </c>
      <c r="N52">
        <f t="shared" ca="1" si="41"/>
        <v>3.3677607995819971</v>
      </c>
      <c r="O52">
        <f t="shared" ca="1" si="2"/>
        <v>3.1392731447541644</v>
      </c>
      <c r="P52">
        <f t="shared" ca="1" si="3"/>
        <v>2.8395100865546259</v>
      </c>
      <c r="Q52">
        <f t="shared" ca="1" si="4"/>
        <v>3.143929884424097</v>
      </c>
      <c r="R52">
        <f t="shared" ca="1" si="5"/>
        <v>3.4011966948954191</v>
      </c>
      <c r="S52">
        <f t="shared" ca="1" si="6"/>
        <v>1.7739256787630564</v>
      </c>
      <c r="T52">
        <f t="shared" ca="1" si="7"/>
        <v>3.2767694496640014</v>
      </c>
      <c r="U52">
        <f t="shared" ca="1" si="8"/>
        <v>2.9805655610571189</v>
      </c>
      <c r="V52">
        <f t="shared" ca="1" si="9"/>
        <v>2.7852722907137788</v>
      </c>
      <c r="W52">
        <f t="shared" ca="1" si="10"/>
        <v>2.8551076616085584</v>
      </c>
      <c r="X52">
        <f t="shared" ca="1" si="11"/>
        <v>2.8734071572858562</v>
      </c>
      <c r="Y52">
        <f t="shared" ca="1" si="12"/>
        <v>2.4609085199602898</v>
      </c>
      <c r="Z52">
        <f t="shared" ca="1" si="13"/>
        <v>3.3537672288123832</v>
      </c>
      <c r="AA52">
        <f t="shared" ca="1" si="14"/>
        <v>2.712970766379081</v>
      </c>
      <c r="AB52">
        <f t="shared" ca="1" si="15"/>
        <v>3.2702556378725784</v>
      </c>
      <c r="AC52">
        <f t="shared" ca="1" si="16"/>
        <v>2.4875016660865708</v>
      </c>
      <c r="AD52">
        <f t="shared" ca="1" si="17"/>
        <v>2.28841049719846</v>
      </c>
      <c r="AE52">
        <f t="shared" ca="1" si="18"/>
        <v>2.4514839919476246</v>
      </c>
      <c r="AF52">
        <f t="shared" ca="1" si="19"/>
        <v>2.653808084349619</v>
      </c>
      <c r="AG52">
        <f t="shared" ca="1" si="20"/>
        <v>3.1412156021046118</v>
      </c>
      <c r="AH52">
        <f t="shared" ca="1" si="21"/>
        <v>2.8520222313593253</v>
      </c>
      <c r="AI52">
        <f t="shared" ca="1" si="22"/>
        <v>4.5882736251653133</v>
      </c>
      <c r="AJ52">
        <f t="shared" ca="1" si="23"/>
        <v>2.4008693419990976</v>
      </c>
      <c r="AK52">
        <f t="shared" ca="1" si="24"/>
        <v>2.8879440854500764</v>
      </c>
      <c r="AL52">
        <f t="shared" ca="1" si="25"/>
        <v>3.2666080665832156</v>
      </c>
      <c r="AM52">
        <f t="shared" ca="1" si="26"/>
        <v>3.2421832717347399</v>
      </c>
      <c r="AN52">
        <f t="shared" ca="1" si="27"/>
        <v>2.8395743909808568</v>
      </c>
      <c r="AO52">
        <f t="shared" ca="1" si="28"/>
        <v>2.4783647500845736</v>
      </c>
      <c r="AP52">
        <f t="shared" ca="1" si="29"/>
        <v>3.1637763907624965</v>
      </c>
      <c r="AQ52">
        <f t="shared" ca="1" si="30"/>
        <v>2.8072889644482433</v>
      </c>
      <c r="AR52">
        <f t="shared" ca="1" si="31"/>
        <v>2.4836369024765217</v>
      </c>
      <c r="AS52">
        <f t="shared" ca="1" si="32"/>
        <v>4.0755976091000097</v>
      </c>
      <c r="AT52">
        <f t="shared" ca="1" si="33"/>
        <v>3.7210584735169192</v>
      </c>
      <c r="AU52">
        <f t="shared" ca="1" si="34"/>
        <v>3.0477644719638213</v>
      </c>
      <c r="AV52">
        <f t="shared" ca="1" si="35"/>
        <v>3.5130092217831557</v>
      </c>
      <c r="AW52">
        <f t="shared" ca="1" si="36"/>
        <v>3.3197588949861685</v>
      </c>
      <c r="AX52">
        <f t="shared" ca="1" si="37"/>
        <v>2.7482225693883966</v>
      </c>
      <c r="AY52">
        <f t="shared" ca="1" si="38"/>
        <v>2.6213390400502186</v>
      </c>
      <c r="AZ52">
        <f t="shared" ca="1" si="39"/>
        <v>3.2206716873897587</v>
      </c>
    </row>
    <row r="53" spans="2:52" x14ac:dyDescent="0.35">
      <c r="B53" s="3">
        <v>45763</v>
      </c>
      <c r="C53" s="4">
        <v>376.04998779296801</v>
      </c>
      <c r="D53">
        <f t="shared" si="0"/>
        <v>1.7842029568861044E-2</v>
      </c>
      <c r="L53" t="s">
        <v>148</v>
      </c>
      <c r="M53">
        <f t="shared" ca="1" si="40"/>
        <v>2.3193060746967515</v>
      </c>
      <c r="N53">
        <f t="shared" ca="1" si="41"/>
        <v>3.2100193442990257</v>
      </c>
      <c r="O53">
        <f t="shared" ca="1" si="2"/>
        <v>3.043447898457702</v>
      </c>
      <c r="P53">
        <f t="shared" ca="1" si="3"/>
        <v>2.7916417836467415</v>
      </c>
      <c r="Q53">
        <f t="shared" ca="1" si="4"/>
        <v>3.0979390995822667</v>
      </c>
      <c r="R53">
        <f t="shared" ca="1" si="5"/>
        <v>3.4842722563166157</v>
      </c>
      <c r="S53">
        <f t="shared" ca="1" si="6"/>
        <v>1.7630225888737661</v>
      </c>
      <c r="T53">
        <f t="shared" ca="1" si="7"/>
        <v>3.1799729224169693</v>
      </c>
      <c r="U53">
        <f t="shared" ca="1" si="8"/>
        <v>2.9971451504245277</v>
      </c>
      <c r="V53">
        <f t="shared" ca="1" si="9"/>
        <v>2.8492121390528049</v>
      </c>
      <c r="W53">
        <f t="shared" ca="1" si="10"/>
        <v>2.834413104660388</v>
      </c>
      <c r="X53">
        <f t="shared" ca="1" si="11"/>
        <v>2.8871657239214019</v>
      </c>
      <c r="Y53">
        <f t="shared" ca="1" si="12"/>
        <v>2.4951094666755727</v>
      </c>
      <c r="Z53">
        <f t="shared" ca="1" si="13"/>
        <v>3.2898616924412525</v>
      </c>
      <c r="AA53">
        <f t="shared" ca="1" si="14"/>
        <v>2.7193202188374923</v>
      </c>
      <c r="AB53">
        <f t="shared" ca="1" si="15"/>
        <v>3.1806978749092529</v>
      </c>
      <c r="AC53">
        <f t="shared" ca="1" si="16"/>
        <v>2.5318711075957712</v>
      </c>
      <c r="AD53">
        <f t="shared" ca="1" si="17"/>
        <v>2.2579426055617833</v>
      </c>
      <c r="AE53">
        <f t="shared" ca="1" si="18"/>
        <v>2.483656126089766</v>
      </c>
      <c r="AF53">
        <f t="shared" ca="1" si="19"/>
        <v>2.7167373718935446</v>
      </c>
      <c r="AG53">
        <f t="shared" ca="1" si="20"/>
        <v>3.1176785553666755</v>
      </c>
      <c r="AH53">
        <f t="shared" ca="1" si="21"/>
        <v>2.7504457106432914</v>
      </c>
      <c r="AI53">
        <f t="shared" ca="1" si="22"/>
        <v>4.4600674124456168</v>
      </c>
      <c r="AJ53">
        <f t="shared" ca="1" si="23"/>
        <v>2.5051547661232547</v>
      </c>
      <c r="AK53">
        <f t="shared" ca="1" si="24"/>
        <v>2.9122916725505026</v>
      </c>
      <c r="AL53">
        <f t="shared" ca="1" si="25"/>
        <v>3.4161693012266054</v>
      </c>
      <c r="AM53">
        <f t="shared" ca="1" si="26"/>
        <v>3.2181117362682179</v>
      </c>
      <c r="AN53">
        <f t="shared" ca="1" si="27"/>
        <v>2.8440161365301204</v>
      </c>
      <c r="AO53">
        <f t="shared" ca="1" si="28"/>
        <v>2.479805770001029</v>
      </c>
      <c r="AP53">
        <f t="shared" ca="1" si="29"/>
        <v>3.1206219953278693</v>
      </c>
      <c r="AQ53">
        <f t="shared" ca="1" si="30"/>
        <v>2.7775379828585298</v>
      </c>
      <c r="AR53">
        <f t="shared" ca="1" si="31"/>
        <v>2.5357764738494852</v>
      </c>
      <c r="AS53">
        <f t="shared" ca="1" si="32"/>
        <v>4.0989698185069203</v>
      </c>
      <c r="AT53">
        <f t="shared" ca="1" si="33"/>
        <v>3.7303981203778522</v>
      </c>
      <c r="AU53">
        <f t="shared" ca="1" si="34"/>
        <v>2.989349546052845</v>
      </c>
      <c r="AV53">
        <f t="shared" ca="1" si="35"/>
        <v>3.4980329964381944</v>
      </c>
      <c r="AW53">
        <f t="shared" ca="1" si="36"/>
        <v>3.3192569041098943</v>
      </c>
      <c r="AX53">
        <f t="shared" ca="1" si="37"/>
        <v>2.7786246862128459</v>
      </c>
      <c r="AY53">
        <f t="shared" ca="1" si="38"/>
        <v>2.5828516525541438</v>
      </c>
      <c r="AZ53">
        <f t="shared" ca="1" si="39"/>
        <v>3.1830721655171437</v>
      </c>
    </row>
    <row r="54" spans="2:52" x14ac:dyDescent="0.35">
      <c r="B54" s="3">
        <v>45764</v>
      </c>
      <c r="C54" s="4">
        <v>375.5</v>
      </c>
      <c r="D54">
        <f t="shared" si="0"/>
        <v>-1.4636096070281702E-3</v>
      </c>
      <c r="L54" t="s">
        <v>149</v>
      </c>
      <c r="M54">
        <f t="shared" ca="1" si="40"/>
        <v>2.305642957234102</v>
      </c>
      <c r="N54">
        <f t="shared" ca="1" si="41"/>
        <v>3.3467159208614663</v>
      </c>
      <c r="O54">
        <f t="shared" ca="1" si="2"/>
        <v>2.9949613635691756</v>
      </c>
      <c r="P54">
        <f t="shared" ca="1" si="3"/>
        <v>2.8020938683071583</v>
      </c>
      <c r="Q54">
        <f t="shared" ca="1" si="4"/>
        <v>3.1244409729881539</v>
      </c>
      <c r="R54">
        <f t="shared" ca="1" si="5"/>
        <v>3.44958081351405</v>
      </c>
      <c r="S54">
        <f t="shared" ca="1" si="6"/>
        <v>1.8032698672483576</v>
      </c>
      <c r="T54">
        <f t="shared" ca="1" si="7"/>
        <v>3.2607881012836168</v>
      </c>
      <c r="U54">
        <f t="shared" ca="1" si="8"/>
        <v>2.951299756747785</v>
      </c>
      <c r="V54">
        <f t="shared" ca="1" si="9"/>
        <v>2.8523557936924786</v>
      </c>
      <c r="W54">
        <f t="shared" ca="1" si="10"/>
        <v>2.9332987580487777</v>
      </c>
      <c r="X54">
        <f t="shared" ca="1" si="11"/>
        <v>2.8003999505606392</v>
      </c>
      <c r="Y54">
        <f t="shared" ca="1" si="12"/>
        <v>2.5911635419138102</v>
      </c>
      <c r="Z54">
        <f t="shared" ca="1" si="13"/>
        <v>3.3123102233161479</v>
      </c>
      <c r="AA54">
        <f t="shared" ca="1" si="14"/>
        <v>2.7007404518502924</v>
      </c>
      <c r="AB54">
        <f t="shared" ca="1" si="15"/>
        <v>3.2157981577579027</v>
      </c>
      <c r="AC54">
        <f t="shared" ca="1" si="16"/>
        <v>2.4577877052962047</v>
      </c>
      <c r="AD54">
        <f t="shared" ca="1" si="17"/>
        <v>2.2168665237394412</v>
      </c>
      <c r="AE54">
        <f t="shared" ca="1" si="18"/>
        <v>2.4651961474677146</v>
      </c>
      <c r="AF54">
        <f t="shared" ca="1" si="19"/>
        <v>2.7819331550709485</v>
      </c>
      <c r="AG54">
        <f t="shared" ca="1" si="20"/>
        <v>2.9671194052342718</v>
      </c>
      <c r="AH54">
        <f t="shared" ca="1" si="21"/>
        <v>2.6776974293037803</v>
      </c>
      <c r="AI54">
        <f t="shared" ca="1" si="22"/>
        <v>4.4225414637171507</v>
      </c>
      <c r="AJ54">
        <f t="shared" ca="1" si="23"/>
        <v>2.5702033836920251</v>
      </c>
      <c r="AK54">
        <f t="shared" ca="1" si="24"/>
        <v>2.9161782579067843</v>
      </c>
      <c r="AL54">
        <f t="shared" ca="1" si="25"/>
        <v>3.3794238655766469</v>
      </c>
      <c r="AM54">
        <f t="shared" ca="1" si="26"/>
        <v>3.4806484361119696</v>
      </c>
      <c r="AN54">
        <f t="shared" ca="1" si="27"/>
        <v>2.8328436728305935</v>
      </c>
      <c r="AO54">
        <f t="shared" ca="1" si="28"/>
        <v>2.5199671908321428</v>
      </c>
      <c r="AP54">
        <f t="shared" ca="1" si="29"/>
        <v>3.1759475270481037</v>
      </c>
      <c r="AQ54">
        <f t="shared" ca="1" si="30"/>
        <v>2.8642234167136622</v>
      </c>
      <c r="AR54">
        <f t="shared" ca="1" si="31"/>
        <v>2.4622601599565432</v>
      </c>
      <c r="AS54">
        <f t="shared" ca="1" si="32"/>
        <v>4.112003382464354</v>
      </c>
      <c r="AT54">
        <f t="shared" ca="1" si="33"/>
        <v>3.683604140379388</v>
      </c>
      <c r="AU54">
        <f t="shared" ca="1" si="34"/>
        <v>2.8087008275755005</v>
      </c>
      <c r="AV54">
        <f t="shared" ca="1" si="35"/>
        <v>3.4896646715552411</v>
      </c>
      <c r="AW54">
        <f t="shared" ca="1" si="36"/>
        <v>3.3190070061801276</v>
      </c>
      <c r="AX54">
        <f t="shared" ca="1" si="37"/>
        <v>2.8231359505124085</v>
      </c>
      <c r="AY54">
        <f t="shared" ca="1" si="38"/>
        <v>2.5472443862620908</v>
      </c>
      <c r="AZ54">
        <f t="shared" ca="1" si="39"/>
        <v>3.2805944339813489</v>
      </c>
    </row>
    <row r="55" spans="2:52" x14ac:dyDescent="0.35">
      <c r="B55" s="3">
        <v>45768</v>
      </c>
      <c r="C55" s="4">
        <v>366.79998779296801</v>
      </c>
      <c r="D55">
        <f t="shared" si="0"/>
        <v>-2.3441764101683825E-2</v>
      </c>
      <c r="L55" t="s">
        <v>150</v>
      </c>
      <c r="M55">
        <f t="shared" ca="1" si="40"/>
        <v>2.3403682866293147</v>
      </c>
      <c r="N55">
        <f t="shared" ca="1" si="41"/>
        <v>3.2435248362642213</v>
      </c>
      <c r="O55">
        <f t="shared" ca="1" si="2"/>
        <v>2.9342321851343764</v>
      </c>
      <c r="P55">
        <f t="shared" ca="1" si="3"/>
        <v>2.9042295017744371</v>
      </c>
      <c r="Q55">
        <f t="shared" ca="1" si="4"/>
        <v>3.079231841689515</v>
      </c>
      <c r="R55">
        <f t="shared" ca="1" si="5"/>
        <v>3.4245205961642662</v>
      </c>
      <c r="S55">
        <f t="shared" ca="1" si="6"/>
        <v>1.7965071531056527</v>
      </c>
      <c r="T55">
        <f t="shared" ca="1" si="7"/>
        <v>3.265100195481597</v>
      </c>
      <c r="U55">
        <f t="shared" ca="1" si="8"/>
        <v>3.2034109189021103</v>
      </c>
      <c r="V55">
        <f t="shared" ca="1" si="9"/>
        <v>2.8912665099100483</v>
      </c>
      <c r="W55">
        <f t="shared" ca="1" si="10"/>
        <v>2.8964355752650559</v>
      </c>
      <c r="X55">
        <f t="shared" ca="1" si="11"/>
        <v>2.7216292405255578</v>
      </c>
      <c r="Y55">
        <f t="shared" ca="1" si="12"/>
        <v>2.6435882224083431</v>
      </c>
      <c r="Z55">
        <f t="shared" ca="1" si="13"/>
        <v>3.1273834634131839</v>
      </c>
      <c r="AA55">
        <f t="shared" ca="1" si="14"/>
        <v>2.6738572976096346</v>
      </c>
      <c r="AB55">
        <f t="shared" ca="1" si="15"/>
        <v>3.210911383269365</v>
      </c>
      <c r="AC55">
        <f t="shared" ca="1" si="16"/>
        <v>2.5247315792796234</v>
      </c>
      <c r="AD55">
        <f t="shared" ca="1" si="17"/>
        <v>2.2837740335893586</v>
      </c>
      <c r="AE55">
        <f t="shared" ca="1" si="18"/>
        <v>2.4276751006097843</v>
      </c>
      <c r="AF55">
        <f t="shared" ca="1" si="19"/>
        <v>2.799169360633468</v>
      </c>
      <c r="AG55">
        <f t="shared" ca="1" si="20"/>
        <v>2.9937305540813748</v>
      </c>
      <c r="AH55">
        <f t="shared" ca="1" si="21"/>
        <v>2.6467756535842026</v>
      </c>
      <c r="AI55">
        <f t="shared" ca="1" si="22"/>
        <v>4.4389489423767516</v>
      </c>
      <c r="AJ55">
        <f t="shared" ca="1" si="23"/>
        <v>2.5857274858569439</v>
      </c>
      <c r="AK55">
        <f t="shared" ca="1" si="24"/>
        <v>3.047427712025645</v>
      </c>
      <c r="AL55">
        <f t="shared" ca="1" si="25"/>
        <v>3.3545930583933643</v>
      </c>
      <c r="AM55">
        <f t="shared" ca="1" si="26"/>
        <v>3.4971518014594452</v>
      </c>
      <c r="AN55">
        <f t="shared" ca="1" si="27"/>
        <v>2.944815806682251</v>
      </c>
      <c r="AO55">
        <f t="shared" ca="1" si="28"/>
        <v>2.4111331729930425</v>
      </c>
      <c r="AP55">
        <f t="shared" ca="1" si="29"/>
        <v>3.1480880873761663</v>
      </c>
      <c r="AQ55">
        <f t="shared" ca="1" si="30"/>
        <v>2.8931220849040504</v>
      </c>
      <c r="AR55">
        <f t="shared" ca="1" si="31"/>
        <v>2.4915868217896513</v>
      </c>
      <c r="AS55">
        <f t="shared" ca="1" si="32"/>
        <v>4.1465566715616573</v>
      </c>
      <c r="AT55">
        <f t="shared" ca="1" si="33"/>
        <v>3.5823808556697654</v>
      </c>
      <c r="AU55">
        <f t="shared" ca="1" si="34"/>
        <v>2.793591921658086</v>
      </c>
      <c r="AV55">
        <f t="shared" ca="1" si="35"/>
        <v>3.4163996933855052</v>
      </c>
      <c r="AW55">
        <f t="shared" ca="1" si="36"/>
        <v>3.243494056296242</v>
      </c>
      <c r="AX55">
        <f t="shared" ca="1" si="37"/>
        <v>2.8564926660129033</v>
      </c>
      <c r="AY55">
        <f t="shared" ca="1" si="38"/>
        <v>2.6008938228825107</v>
      </c>
      <c r="AZ55">
        <f t="shared" ca="1" si="39"/>
        <v>3.297991272850608</v>
      </c>
    </row>
    <row r="56" spans="2:52" x14ac:dyDescent="0.35">
      <c r="B56" s="3">
        <v>45769</v>
      </c>
      <c r="C56" s="4">
        <v>377.64999389648398</v>
      </c>
      <c r="D56">
        <f t="shared" si="0"/>
        <v>2.9151117495118936E-2</v>
      </c>
      <c r="L56" t="s">
        <v>151</v>
      </c>
      <c r="M56">
        <f t="shared" ca="1" si="40"/>
        <v>2.3513775150106575</v>
      </c>
      <c r="N56">
        <f t="shared" ca="1" si="41"/>
        <v>3.2988602005184604</v>
      </c>
      <c r="O56">
        <f t="shared" ca="1" si="2"/>
        <v>3.0191752632553341</v>
      </c>
      <c r="P56">
        <f t="shared" ca="1" si="3"/>
        <v>3.0031081042558414</v>
      </c>
      <c r="Q56">
        <f t="shared" ca="1" si="4"/>
        <v>3.0586769826709936</v>
      </c>
      <c r="R56">
        <f t="shared" ca="1" si="5"/>
        <v>3.4020621700306024</v>
      </c>
      <c r="S56">
        <f t="shared" ca="1" si="6"/>
        <v>1.7884414607564649</v>
      </c>
      <c r="T56">
        <f t="shared" ca="1" si="7"/>
        <v>3.1067341613221604</v>
      </c>
      <c r="U56">
        <f t="shared" ca="1" si="8"/>
        <v>3.2389682157152793</v>
      </c>
      <c r="V56">
        <f t="shared" ca="1" si="9"/>
        <v>2.7099553028126806</v>
      </c>
      <c r="W56">
        <f t="shared" ca="1" si="10"/>
        <v>2.905857839211325</v>
      </c>
      <c r="X56">
        <f t="shared" ca="1" si="11"/>
        <v>2.6070975181298524</v>
      </c>
      <c r="Y56">
        <f t="shared" ca="1" si="12"/>
        <v>2.7856078988669064</v>
      </c>
      <c r="Z56">
        <f t="shared" ca="1" si="13"/>
        <v>3.1258363783791929</v>
      </c>
      <c r="AA56">
        <f t="shared" ca="1" si="14"/>
        <v>2.5906796915679484</v>
      </c>
      <c r="AB56">
        <f t="shared" ca="1" si="15"/>
        <v>3.3654084672763807</v>
      </c>
      <c r="AC56">
        <f t="shared" ca="1" si="16"/>
        <v>2.5150546744423967</v>
      </c>
      <c r="AD56">
        <f t="shared" ca="1" si="17"/>
        <v>2.2314758853545804</v>
      </c>
      <c r="AE56">
        <f t="shared" ca="1" si="18"/>
        <v>2.4128340283012402</v>
      </c>
      <c r="AF56">
        <f t="shared" ca="1" si="19"/>
        <v>2.8479355872568686</v>
      </c>
      <c r="AG56">
        <f t="shared" ca="1" si="20"/>
        <v>2.9212652499577154</v>
      </c>
      <c r="AH56">
        <f t="shared" ca="1" si="21"/>
        <v>2.6209106852457364</v>
      </c>
      <c r="AI56">
        <f t="shared" ca="1" si="22"/>
        <v>4.4721490592946127</v>
      </c>
      <c r="AJ56">
        <f t="shared" ca="1" si="23"/>
        <v>2.621193245790669</v>
      </c>
      <c r="AK56">
        <f t="shared" ca="1" si="24"/>
        <v>3.1910961984525925</v>
      </c>
      <c r="AL56">
        <f t="shared" ca="1" si="25"/>
        <v>3.44580393491613</v>
      </c>
      <c r="AM56">
        <f t="shared" ca="1" si="26"/>
        <v>3.4424722085368176</v>
      </c>
      <c r="AN56">
        <f t="shared" ca="1" si="27"/>
        <v>2.963875540888119</v>
      </c>
      <c r="AO56">
        <f t="shared" ca="1" si="28"/>
        <v>2.526105389626057</v>
      </c>
      <c r="AP56">
        <f t="shared" ca="1" si="29"/>
        <v>3.1185254856228988</v>
      </c>
      <c r="AQ56">
        <f t="shared" ca="1" si="30"/>
        <v>2.9524516668278484</v>
      </c>
      <c r="AR56">
        <f t="shared" ca="1" si="31"/>
        <v>2.3957729116345758</v>
      </c>
      <c r="AS56">
        <f t="shared" ca="1" si="32"/>
        <v>4.1427233759073188</v>
      </c>
      <c r="AT56">
        <f t="shared" ca="1" si="33"/>
        <v>3.4330820284101531</v>
      </c>
      <c r="AU56">
        <f t="shared" ca="1" si="34"/>
        <v>2.8435041407171386</v>
      </c>
      <c r="AV56">
        <f t="shared" ca="1" si="35"/>
        <v>3.4372414883601707</v>
      </c>
      <c r="AW56">
        <f t="shared" ca="1" si="36"/>
        <v>3.1328195595930115</v>
      </c>
      <c r="AX56">
        <f t="shared" ca="1" si="37"/>
        <v>2.8630242266384069</v>
      </c>
      <c r="AY56">
        <f t="shared" ca="1" si="38"/>
        <v>2.6477023830368918</v>
      </c>
      <c r="AZ56">
        <f t="shared" ca="1" si="39"/>
        <v>3.271165414080059</v>
      </c>
    </row>
    <row r="57" spans="2:52" x14ac:dyDescent="0.35">
      <c r="B57" s="3">
        <v>45770</v>
      </c>
      <c r="C57" s="4">
        <v>392.39999389648398</v>
      </c>
      <c r="D57">
        <f t="shared" si="0"/>
        <v>3.8313887539261349E-2</v>
      </c>
      <c r="L57" t="s">
        <v>152</v>
      </c>
      <c r="M57">
        <f t="shared" ca="1" si="40"/>
        <v>2.4022606051638107</v>
      </c>
      <c r="N57">
        <f t="shared" ca="1" si="41"/>
        <v>3.2721602425846195</v>
      </c>
      <c r="O57">
        <f t="shared" ca="1" si="2"/>
        <v>3.0487752491558937</v>
      </c>
      <c r="P57">
        <f t="shared" ca="1" si="3"/>
        <v>3.0322444784824341</v>
      </c>
      <c r="Q57">
        <f t="shared" ca="1" si="4"/>
        <v>2.975341313291938</v>
      </c>
      <c r="R57">
        <f t="shared" ca="1" si="5"/>
        <v>3.4369592505742173</v>
      </c>
      <c r="S57">
        <f t="shared" ca="1" si="6"/>
        <v>1.7998618213633035</v>
      </c>
      <c r="T57">
        <f t="shared" ca="1" si="7"/>
        <v>3.1422538301297407</v>
      </c>
      <c r="U57">
        <f t="shared" ca="1" si="8"/>
        <v>3.2090728046114325</v>
      </c>
      <c r="V57">
        <f t="shared" ca="1" si="9"/>
        <v>2.7192098496718913</v>
      </c>
      <c r="W57">
        <f t="shared" ca="1" si="10"/>
        <v>2.9124550258319091</v>
      </c>
      <c r="X57">
        <f t="shared" ca="1" si="11"/>
        <v>2.5813842374591163</v>
      </c>
      <c r="Y57">
        <f t="shared" ca="1" si="12"/>
        <v>2.8383326755806046</v>
      </c>
      <c r="Z57">
        <f t="shared" ca="1" si="13"/>
        <v>3.0299897414209571</v>
      </c>
      <c r="AA57">
        <f t="shared" ca="1" si="14"/>
        <v>2.5450577052616392</v>
      </c>
      <c r="AB57">
        <f t="shared" ca="1" si="15"/>
        <v>3.4765179188094413</v>
      </c>
      <c r="AC57">
        <f t="shared" ca="1" si="16"/>
        <v>2.5849486929064511</v>
      </c>
      <c r="AD57">
        <f t="shared" ca="1" si="17"/>
        <v>2.2781097558972325</v>
      </c>
      <c r="AE57">
        <f t="shared" ca="1" si="18"/>
        <v>2.3780956249160976</v>
      </c>
      <c r="AF57">
        <f t="shared" ca="1" si="19"/>
        <v>2.8043418915228995</v>
      </c>
      <c r="AG57">
        <f t="shared" ca="1" si="20"/>
        <v>2.9486908088672585</v>
      </c>
      <c r="AH57">
        <f t="shared" ca="1" si="21"/>
        <v>2.5902737139993128</v>
      </c>
      <c r="AI57">
        <f t="shared" ca="1" si="22"/>
        <v>4.4063952784746219</v>
      </c>
      <c r="AJ57">
        <f t="shared" ca="1" si="23"/>
        <v>2.7495616984707207</v>
      </c>
      <c r="AK57">
        <f t="shared" ca="1" si="24"/>
        <v>3.3353820799050435</v>
      </c>
      <c r="AL57">
        <f t="shared" ca="1" si="25"/>
        <v>3.4960731609879026</v>
      </c>
      <c r="AM57">
        <f t="shared" ca="1" si="26"/>
        <v>3.4428862300886363</v>
      </c>
      <c r="AN57">
        <f t="shared" ca="1" si="27"/>
        <v>3.0343045708524539</v>
      </c>
      <c r="AO57">
        <f t="shared" ca="1" si="28"/>
        <v>2.5602007694636804</v>
      </c>
      <c r="AP57">
        <f t="shared" ca="1" si="29"/>
        <v>3.118591333914289</v>
      </c>
      <c r="AQ57">
        <f t="shared" ca="1" si="30"/>
        <v>2.8837012160585234</v>
      </c>
      <c r="AR57">
        <f t="shared" ca="1" si="31"/>
        <v>2.4460145671804621</v>
      </c>
      <c r="AS57">
        <f t="shared" ca="1" si="32"/>
        <v>4.0994733284441507</v>
      </c>
      <c r="AT57">
        <f t="shared" ca="1" si="33"/>
        <v>3.4626893532222276</v>
      </c>
      <c r="AU57">
        <f t="shared" ca="1" si="34"/>
        <v>2.8619221354611737</v>
      </c>
      <c r="AV57">
        <f t="shared" ca="1" si="35"/>
        <v>3.5313979621621261</v>
      </c>
      <c r="AW57">
        <f t="shared" ca="1" si="36"/>
        <v>3.1118850125509225</v>
      </c>
      <c r="AX57">
        <f t="shared" ca="1" si="37"/>
        <v>2.9362814804283133</v>
      </c>
      <c r="AY57">
        <f t="shared" ca="1" si="38"/>
        <v>2.6369802988601019</v>
      </c>
      <c r="AZ57">
        <f t="shared" ca="1" si="39"/>
        <v>3.2377272674835953</v>
      </c>
    </row>
    <row r="58" spans="2:52" x14ac:dyDescent="0.35">
      <c r="B58" s="3">
        <v>45771</v>
      </c>
      <c r="C58" s="4">
        <v>408</v>
      </c>
      <c r="D58">
        <f t="shared" si="0"/>
        <v>3.8985462267275992E-2</v>
      </c>
      <c r="L58" t="s">
        <v>153</v>
      </c>
      <c r="M58">
        <f t="shared" ca="1" si="40"/>
        <v>2.3661393906791384</v>
      </c>
      <c r="N58">
        <f t="shared" ca="1" si="41"/>
        <v>3.2175233841644926</v>
      </c>
      <c r="O58">
        <f t="shared" ca="1" si="2"/>
        <v>3.0272911486721852</v>
      </c>
      <c r="P58">
        <f t="shared" ca="1" si="3"/>
        <v>2.9886766843370571</v>
      </c>
      <c r="Q58">
        <f t="shared" ca="1" si="4"/>
        <v>2.973631277917093</v>
      </c>
      <c r="R58">
        <f t="shared" ca="1" si="5"/>
        <v>3.4149457186991516</v>
      </c>
      <c r="S58">
        <f t="shared" ca="1" si="6"/>
        <v>1.7927166963385972</v>
      </c>
      <c r="T58">
        <f t="shared" ca="1" si="7"/>
        <v>3.0990355172693196</v>
      </c>
      <c r="U58">
        <f t="shared" ca="1" si="8"/>
        <v>3.2552819295422206</v>
      </c>
      <c r="V58">
        <f t="shared" ca="1" si="9"/>
        <v>2.7145164633745971</v>
      </c>
      <c r="W58">
        <f t="shared" ca="1" si="10"/>
        <v>2.9436713739810352</v>
      </c>
      <c r="X58">
        <f t="shared" ca="1" si="11"/>
        <v>2.5127476255839585</v>
      </c>
      <c r="Y58">
        <f t="shared" ca="1" si="12"/>
        <v>2.8685464623256274</v>
      </c>
      <c r="Z58">
        <f t="shared" ca="1" si="13"/>
        <v>3.0110972456756753</v>
      </c>
      <c r="AA58">
        <f t="shared" ca="1" si="14"/>
        <v>2.5610719816200542</v>
      </c>
      <c r="AB58">
        <f t="shared" ca="1" si="15"/>
        <v>3.3507566072457067</v>
      </c>
      <c r="AC58">
        <f t="shared" ca="1" si="16"/>
        <v>2.6291554164397524</v>
      </c>
      <c r="AD58">
        <f t="shared" ca="1" si="17"/>
        <v>2.2502681529935411</v>
      </c>
      <c r="AE58">
        <f t="shared" ca="1" si="18"/>
        <v>2.4090161212356249</v>
      </c>
      <c r="AF58">
        <f t="shared" ca="1" si="19"/>
        <v>2.8562283324208617</v>
      </c>
      <c r="AG58">
        <f t="shared" ca="1" si="20"/>
        <v>2.9171201931188211</v>
      </c>
      <c r="AH58">
        <f t="shared" ca="1" si="21"/>
        <v>2.6510291740939134</v>
      </c>
      <c r="AI58">
        <f t="shared" ca="1" si="22"/>
        <v>4.3960035694510422</v>
      </c>
      <c r="AJ58">
        <f t="shared" ca="1" si="23"/>
        <v>2.7365871735128047</v>
      </c>
      <c r="AK58">
        <f t="shared" ca="1" si="24"/>
        <v>3.3638897791153299</v>
      </c>
      <c r="AL58">
        <f t="shared" ca="1" si="25"/>
        <v>3.5571140612642855</v>
      </c>
      <c r="AM58">
        <f t="shared" ca="1" si="26"/>
        <v>3.3806045357376062</v>
      </c>
      <c r="AN58">
        <f t="shared" ca="1" si="27"/>
        <v>2.9237098732713518</v>
      </c>
      <c r="AO58">
        <f t="shared" ca="1" si="28"/>
        <v>2.4560723550948391</v>
      </c>
      <c r="AP58">
        <f t="shared" ca="1" si="29"/>
        <v>3.0570166049558671</v>
      </c>
      <c r="AQ58">
        <f t="shared" ca="1" si="30"/>
        <v>2.8401798328243064</v>
      </c>
      <c r="AR58">
        <f t="shared" ca="1" si="31"/>
        <v>2.4202013318921791</v>
      </c>
      <c r="AS58">
        <f t="shared" ca="1" si="32"/>
        <v>4.2869362674696294</v>
      </c>
      <c r="AT58">
        <f t="shared" ca="1" si="33"/>
        <v>3.3261466351993381</v>
      </c>
      <c r="AU58">
        <f t="shared" ca="1" si="34"/>
        <v>2.7820518544181607</v>
      </c>
      <c r="AV58">
        <f t="shared" ca="1" si="35"/>
        <v>3.4994648184347747</v>
      </c>
      <c r="AW58">
        <f t="shared" ca="1" si="36"/>
        <v>3.0411309747860504</v>
      </c>
      <c r="AX58">
        <f t="shared" ca="1" si="37"/>
        <v>2.9450507924507989</v>
      </c>
      <c r="AY58">
        <f t="shared" ca="1" si="38"/>
        <v>2.7347587401798532</v>
      </c>
      <c r="AZ58">
        <f t="shared" ca="1" si="39"/>
        <v>3.3061786328631926</v>
      </c>
    </row>
    <row r="59" spans="2:52" x14ac:dyDescent="0.35">
      <c r="B59" s="3">
        <v>45772</v>
      </c>
      <c r="C59" s="4">
        <v>408.25</v>
      </c>
      <c r="D59">
        <f t="shared" si="0"/>
        <v>6.1255744641290221E-4</v>
      </c>
      <c r="L59" t="s">
        <v>154</v>
      </c>
      <c r="M59">
        <f t="shared" ca="1" si="40"/>
        <v>2.3924560302287547</v>
      </c>
      <c r="N59">
        <f t="shared" ca="1" si="41"/>
        <v>3.2040407463245044</v>
      </c>
      <c r="O59">
        <f t="shared" ca="1" si="2"/>
        <v>2.9457170341493248</v>
      </c>
      <c r="P59">
        <f t="shared" ca="1" si="3"/>
        <v>3.0619882131053267</v>
      </c>
      <c r="Q59">
        <f t="shared" ca="1" si="4"/>
        <v>3.0926322739624843</v>
      </c>
      <c r="R59">
        <f t="shared" ca="1" si="5"/>
        <v>3.4351575589784251</v>
      </c>
      <c r="S59">
        <f t="shared" ca="1" si="6"/>
        <v>1.7413104391759999</v>
      </c>
      <c r="T59">
        <f t="shared" ca="1" si="7"/>
        <v>3.1245310840945368</v>
      </c>
      <c r="U59">
        <f t="shared" ca="1" si="8"/>
        <v>3.2930868206413182</v>
      </c>
      <c r="V59">
        <f t="shared" ca="1" si="9"/>
        <v>2.6458691885902179</v>
      </c>
      <c r="W59">
        <f t="shared" ca="1" si="10"/>
        <v>2.9280062821392501</v>
      </c>
      <c r="X59">
        <f t="shared" ca="1" si="11"/>
        <v>2.5708231680013243</v>
      </c>
      <c r="Y59">
        <f t="shared" ca="1" si="12"/>
        <v>2.857064909433872</v>
      </c>
      <c r="Z59">
        <f t="shared" ca="1" si="13"/>
        <v>3.0318392514599508</v>
      </c>
      <c r="AA59">
        <f t="shared" ca="1" si="14"/>
        <v>2.5452196233984821</v>
      </c>
      <c r="AB59">
        <f t="shared" ca="1" si="15"/>
        <v>3.5249508008571899</v>
      </c>
      <c r="AC59">
        <f t="shared" ca="1" si="16"/>
        <v>2.5391550472666626</v>
      </c>
      <c r="AD59">
        <f t="shared" ca="1" si="17"/>
        <v>2.199277854152685</v>
      </c>
      <c r="AE59">
        <f t="shared" ca="1" si="18"/>
        <v>2.3762752958178135</v>
      </c>
      <c r="AF59">
        <f t="shared" ca="1" si="19"/>
        <v>2.8332417274067994</v>
      </c>
      <c r="AG59">
        <f t="shared" ca="1" si="20"/>
        <v>2.8358944681029556</v>
      </c>
      <c r="AH59">
        <f t="shared" ca="1" si="21"/>
        <v>2.6587142720130217</v>
      </c>
      <c r="AI59">
        <f t="shared" ca="1" si="22"/>
        <v>4.3643581069063773</v>
      </c>
      <c r="AJ59">
        <f t="shared" ca="1" si="23"/>
        <v>2.9964873342676541</v>
      </c>
      <c r="AK59">
        <f t="shared" ca="1" si="24"/>
        <v>3.3289466029062882</v>
      </c>
      <c r="AL59">
        <f t="shared" ca="1" si="25"/>
        <v>3.521958544697581</v>
      </c>
      <c r="AM59">
        <f t="shared" ca="1" si="26"/>
        <v>3.3480719292047483</v>
      </c>
      <c r="AN59">
        <f t="shared" ca="1" si="27"/>
        <v>2.9052369008780561</v>
      </c>
      <c r="AO59">
        <f t="shared" ca="1" si="28"/>
        <v>2.5054197371573288</v>
      </c>
      <c r="AP59">
        <f t="shared" ca="1" si="29"/>
        <v>3.0944726307886348</v>
      </c>
      <c r="AQ59">
        <f t="shared" ca="1" si="30"/>
        <v>2.7865582748988866</v>
      </c>
      <c r="AR59">
        <f t="shared" ca="1" si="31"/>
        <v>2.3986911086627218</v>
      </c>
      <c r="AS59">
        <f t="shared" ca="1" si="32"/>
        <v>4.1705759439622225</v>
      </c>
      <c r="AT59">
        <f t="shared" ca="1" si="33"/>
        <v>3.2521050464345516</v>
      </c>
      <c r="AU59">
        <f t="shared" ca="1" si="34"/>
        <v>2.8640855070541198</v>
      </c>
      <c r="AV59">
        <f t="shared" ca="1" si="35"/>
        <v>3.5772469392037967</v>
      </c>
      <c r="AW59">
        <f t="shared" ca="1" si="36"/>
        <v>3.0421482232081298</v>
      </c>
      <c r="AX59">
        <f t="shared" ca="1" si="37"/>
        <v>2.9110395068232582</v>
      </c>
      <c r="AY59">
        <f t="shared" ca="1" si="38"/>
        <v>2.7181017885932195</v>
      </c>
      <c r="AZ59">
        <f t="shared" ca="1" si="39"/>
        <v>3.2294464972603261</v>
      </c>
    </row>
    <row r="60" spans="2:52" x14ac:dyDescent="0.35">
      <c r="B60" s="3">
        <v>45775</v>
      </c>
      <c r="C60" s="4">
        <v>421.54998779296801</v>
      </c>
      <c r="D60">
        <f t="shared" si="0"/>
        <v>3.2058633560614731E-2</v>
      </c>
      <c r="L60" t="s">
        <v>155</v>
      </c>
      <c r="M60">
        <f t="shared" ca="1" si="40"/>
        <v>2.3621448697793017</v>
      </c>
      <c r="N60">
        <f t="shared" ca="1" si="41"/>
        <v>3.1691753757756653</v>
      </c>
      <c r="O60">
        <f t="shared" ca="1" si="2"/>
        <v>2.8835982573201338</v>
      </c>
      <c r="P60">
        <f t="shared" ca="1" si="3"/>
        <v>3.0148977350975446</v>
      </c>
      <c r="Q60">
        <f t="shared" ca="1" si="4"/>
        <v>3.1303350743205658</v>
      </c>
      <c r="R60">
        <f t="shared" ca="1" si="5"/>
        <v>3.4962809556501075</v>
      </c>
      <c r="S60">
        <f t="shared" ca="1" si="6"/>
        <v>1.6472393216011723</v>
      </c>
      <c r="T60">
        <f t="shared" ca="1" si="7"/>
        <v>3.1905176670581965</v>
      </c>
      <c r="U60">
        <f t="shared" ca="1" si="8"/>
        <v>3.3563556274848718</v>
      </c>
      <c r="V60">
        <f t="shared" ca="1" si="9"/>
        <v>2.6699617354397369</v>
      </c>
      <c r="W60">
        <f t="shared" ca="1" si="10"/>
        <v>2.8528205148376555</v>
      </c>
      <c r="X60">
        <f t="shared" ca="1" si="11"/>
        <v>2.6217484902161661</v>
      </c>
      <c r="Y60">
        <f t="shared" ca="1" si="12"/>
        <v>2.9714169957783625</v>
      </c>
      <c r="Z60">
        <f t="shared" ca="1" si="13"/>
        <v>3.0379991268505444</v>
      </c>
      <c r="AA60">
        <f t="shared" ca="1" si="14"/>
        <v>2.5914431330679202</v>
      </c>
      <c r="AB60">
        <f t="shared" ca="1" si="15"/>
        <v>3.5485079564391886</v>
      </c>
      <c r="AC60">
        <f t="shared" ca="1" si="16"/>
        <v>2.5260409388054286</v>
      </c>
      <c r="AD60">
        <f t="shared" ca="1" si="17"/>
        <v>2.1897306209138518</v>
      </c>
      <c r="AE60">
        <f t="shared" ca="1" si="18"/>
        <v>2.2773526791157508</v>
      </c>
      <c r="AF60">
        <f t="shared" ca="1" si="19"/>
        <v>2.9013476794679796</v>
      </c>
      <c r="AG60">
        <f t="shared" ca="1" si="20"/>
        <v>2.9225132912649578</v>
      </c>
      <c r="AH60">
        <f t="shared" ca="1" si="21"/>
        <v>2.629243903368311</v>
      </c>
      <c r="AI60">
        <f t="shared" ca="1" si="22"/>
        <v>4.3818071745940133</v>
      </c>
      <c r="AJ60">
        <f t="shared" ca="1" si="23"/>
        <v>3.0809161337021771</v>
      </c>
      <c r="AK60">
        <f t="shared" ca="1" si="24"/>
        <v>3.2953461138147611</v>
      </c>
      <c r="AL60">
        <f t="shared" ca="1" si="25"/>
        <v>3.4985910604503259</v>
      </c>
      <c r="AM60">
        <f t="shared" ca="1" si="26"/>
        <v>3.3142597167379653</v>
      </c>
      <c r="AN60">
        <f t="shared" ca="1" si="27"/>
        <v>2.9464443105822844</v>
      </c>
      <c r="AO60">
        <f t="shared" ca="1" si="28"/>
        <v>2.4557738053155824</v>
      </c>
      <c r="AP60">
        <f t="shared" ca="1" si="29"/>
        <v>3.0389866848446281</v>
      </c>
      <c r="AQ60">
        <f t="shared" ca="1" si="30"/>
        <v>2.7427718520665008</v>
      </c>
      <c r="AR60">
        <f t="shared" ca="1" si="31"/>
        <v>2.4460781318915759</v>
      </c>
      <c r="AS60">
        <f t="shared" ca="1" si="32"/>
        <v>4.2770577426420591</v>
      </c>
      <c r="AT60">
        <f t="shared" ca="1" si="33"/>
        <v>3.2508990411857575</v>
      </c>
      <c r="AU60">
        <f t="shared" ca="1" si="34"/>
        <v>2.7441858039091391</v>
      </c>
      <c r="AV60">
        <f t="shared" ca="1" si="35"/>
        <v>3.5085449025783926</v>
      </c>
      <c r="AW60">
        <f t="shared" ca="1" si="36"/>
        <v>3.0613825765209755</v>
      </c>
      <c r="AX60">
        <f t="shared" ca="1" si="37"/>
        <v>2.9287155589179732</v>
      </c>
      <c r="AY60">
        <f t="shared" ca="1" si="38"/>
        <v>2.6692120846702032</v>
      </c>
      <c r="AZ60">
        <f t="shared" ca="1" si="39"/>
        <v>3.2097482269003494</v>
      </c>
    </row>
    <row r="61" spans="2:52" x14ac:dyDescent="0.35">
      <c r="B61" s="3">
        <v>45776</v>
      </c>
      <c r="C61" s="4">
        <v>412.64999389648398</v>
      </c>
      <c r="D61">
        <f t="shared" si="0"/>
        <v>-2.1338604163520056E-2</v>
      </c>
      <c r="L61" t="s">
        <v>156</v>
      </c>
      <c r="M61">
        <f t="shared" ca="1" si="40"/>
        <v>2.3323211597979387</v>
      </c>
      <c r="N61">
        <f t="shared" ca="1" si="41"/>
        <v>3.0801743586576102</v>
      </c>
      <c r="O61">
        <f t="shared" ca="1" si="2"/>
        <v>2.9466989932282326</v>
      </c>
      <c r="P61">
        <f t="shared" ca="1" si="3"/>
        <v>3.0157579784670774</v>
      </c>
      <c r="Q61">
        <f t="shared" ca="1" si="4"/>
        <v>3.1173268983558069</v>
      </c>
      <c r="R61">
        <f t="shared" ca="1" si="5"/>
        <v>3.4753987208800003</v>
      </c>
      <c r="S61">
        <f t="shared" ca="1" si="6"/>
        <v>1.6894573217316511</v>
      </c>
      <c r="T61">
        <f t="shared" ca="1" si="7"/>
        <v>3.1860888544842401</v>
      </c>
      <c r="U61">
        <f t="shared" ca="1" si="8"/>
        <v>3.4340537009487657</v>
      </c>
      <c r="V61">
        <f t="shared" ca="1" si="9"/>
        <v>2.6885067784963965</v>
      </c>
      <c r="W61">
        <f t="shared" ca="1" si="10"/>
        <v>2.8376450513905684</v>
      </c>
      <c r="X61">
        <f t="shared" ca="1" si="11"/>
        <v>2.7489900003664229</v>
      </c>
      <c r="Y61">
        <f t="shared" ca="1" si="12"/>
        <v>2.977432720708403</v>
      </c>
      <c r="Z61">
        <f t="shared" ca="1" si="13"/>
        <v>3.0836786507171121</v>
      </c>
      <c r="AA61">
        <f t="shared" ca="1" si="14"/>
        <v>2.6534193403353954</v>
      </c>
      <c r="AB61">
        <f t="shared" ca="1" si="15"/>
        <v>3.5558916932165334</v>
      </c>
      <c r="AC61">
        <f t="shared" ca="1" si="16"/>
        <v>2.5154591305811</v>
      </c>
      <c r="AD61">
        <f t="shared" ca="1" si="17"/>
        <v>2.1264526264545913</v>
      </c>
      <c r="AE61">
        <f t="shared" ca="1" si="18"/>
        <v>2.3305940674346686</v>
      </c>
      <c r="AF61">
        <f t="shared" ca="1" si="19"/>
        <v>2.9487158697540901</v>
      </c>
      <c r="AG61">
        <f t="shared" ca="1" si="20"/>
        <v>2.989526454579682</v>
      </c>
      <c r="AH61">
        <f t="shared" ca="1" si="21"/>
        <v>2.6322810660179341</v>
      </c>
      <c r="AI61">
        <f t="shared" ca="1" si="22"/>
        <v>4.3353498996456601</v>
      </c>
      <c r="AJ61">
        <f t="shared" ca="1" si="23"/>
        <v>3.1684182180087577</v>
      </c>
      <c r="AK61">
        <f t="shared" ca="1" si="24"/>
        <v>3.1173204458203747</v>
      </c>
      <c r="AL61">
        <f t="shared" ca="1" si="25"/>
        <v>3.6474195214948746</v>
      </c>
      <c r="AM61">
        <f t="shared" ca="1" si="26"/>
        <v>3.1878184005272079</v>
      </c>
      <c r="AN61">
        <f t="shared" ca="1" si="27"/>
        <v>2.9714368199945609</v>
      </c>
      <c r="AO61">
        <f t="shared" ca="1" si="28"/>
        <v>2.5216086299200247</v>
      </c>
      <c r="AP61">
        <f t="shared" ca="1" si="29"/>
        <v>3.198410639263602</v>
      </c>
      <c r="AQ61">
        <f t="shared" ca="1" si="30"/>
        <v>2.8401443916070628</v>
      </c>
      <c r="AR61">
        <f t="shared" ca="1" si="31"/>
        <v>2.410758722242293</v>
      </c>
      <c r="AS61">
        <f t="shared" ca="1" si="32"/>
        <v>4.2601813394274668</v>
      </c>
      <c r="AT61">
        <f t="shared" ca="1" si="33"/>
        <v>3.2899579374961418</v>
      </c>
      <c r="AU61">
        <f t="shared" ca="1" si="34"/>
        <v>2.7858476585632377</v>
      </c>
      <c r="AV61">
        <f t="shared" ca="1" si="35"/>
        <v>3.6153281294092268</v>
      </c>
      <c r="AW61">
        <f t="shared" ca="1" si="36"/>
        <v>2.9717513108703675</v>
      </c>
      <c r="AX61">
        <f t="shared" ca="1" si="37"/>
        <v>2.9805481625324655</v>
      </c>
      <c r="AY61">
        <f t="shared" ca="1" si="38"/>
        <v>2.6777157545126218</v>
      </c>
      <c r="AZ61">
        <f t="shared" ca="1" si="39"/>
        <v>3.1997784195176604</v>
      </c>
    </row>
    <row r="62" spans="2:52" x14ac:dyDescent="0.35">
      <c r="B62" s="3">
        <v>45777</v>
      </c>
      <c r="C62" s="4">
        <v>413.600006103515</v>
      </c>
      <c r="D62">
        <f t="shared" si="0"/>
        <v>2.2995767035979492E-3</v>
      </c>
      <c r="L62" t="s">
        <v>157</v>
      </c>
      <c r="M62">
        <f t="shared" ca="1" si="40"/>
        <v>2.3166463884486617</v>
      </c>
      <c r="N62">
        <f t="shared" ca="1" si="41"/>
        <v>2.9623180733121859</v>
      </c>
      <c r="O62">
        <f t="shared" ca="1" si="2"/>
        <v>3.0006233055246896</v>
      </c>
      <c r="P62">
        <f t="shared" ca="1" si="3"/>
        <v>2.9204284884544953</v>
      </c>
      <c r="Q62">
        <f t="shared" ca="1" si="4"/>
        <v>2.9504886837612117</v>
      </c>
      <c r="R62">
        <f t="shared" ca="1" si="5"/>
        <v>3.4113906725190799</v>
      </c>
      <c r="S62">
        <f t="shared" ca="1" si="6"/>
        <v>1.6756182761343921</v>
      </c>
      <c r="T62">
        <f t="shared" ca="1" si="7"/>
        <v>3.2389007157951757</v>
      </c>
      <c r="U62">
        <f t="shared" ca="1" si="8"/>
        <v>3.4627833442386855</v>
      </c>
      <c r="V62">
        <f t="shared" ca="1" si="9"/>
        <v>2.7434117851507027</v>
      </c>
      <c r="W62">
        <f t="shared" ca="1" si="10"/>
        <v>2.8493212509206485</v>
      </c>
      <c r="X62">
        <f t="shared" ca="1" si="11"/>
        <v>2.7233527764473329</v>
      </c>
      <c r="Y62">
        <f t="shared" ca="1" si="12"/>
        <v>2.9475903249691449</v>
      </c>
      <c r="Z62">
        <f t="shared" ca="1" si="13"/>
        <v>3.0466414650648574</v>
      </c>
      <c r="AA62">
        <f t="shared" ca="1" si="14"/>
        <v>2.6148991740600924</v>
      </c>
      <c r="AB62">
        <f t="shared" ca="1" si="15"/>
        <v>3.4724952827499216</v>
      </c>
      <c r="AC62">
        <f t="shared" ca="1" si="16"/>
        <v>2.5676018273270325</v>
      </c>
      <c r="AD62">
        <f t="shared" ca="1" si="17"/>
        <v>2.1925710494342883</v>
      </c>
      <c r="AE62">
        <f t="shared" ca="1" si="18"/>
        <v>2.3398141421444438</v>
      </c>
      <c r="AF62">
        <f t="shared" ca="1" si="19"/>
        <v>2.9659319115493061</v>
      </c>
      <c r="AG62">
        <f t="shared" ca="1" si="20"/>
        <v>3.0347763387557296</v>
      </c>
      <c r="AH62">
        <f t="shared" ca="1" si="21"/>
        <v>2.5306624058779779</v>
      </c>
      <c r="AI62">
        <f t="shared" ca="1" si="22"/>
        <v>4.2775126263137668</v>
      </c>
      <c r="AJ62">
        <f t="shared" ca="1" si="23"/>
        <v>3.1534553148189026</v>
      </c>
      <c r="AK62">
        <f t="shared" ca="1" si="24"/>
        <v>3.1662568163274813</v>
      </c>
      <c r="AL62">
        <f t="shared" ca="1" si="25"/>
        <v>3.6625891987170878</v>
      </c>
      <c r="AM62">
        <f t="shared" ca="1" si="26"/>
        <v>3.1658302403872676</v>
      </c>
      <c r="AN62">
        <f t="shared" ca="1" si="27"/>
        <v>2.9619640795320654</v>
      </c>
      <c r="AO62">
        <f t="shared" ca="1" si="28"/>
        <v>2.5250242038052799</v>
      </c>
      <c r="AP62">
        <f t="shared" ca="1" si="29"/>
        <v>3.2462221900584272</v>
      </c>
      <c r="AQ62">
        <f t="shared" ca="1" si="30"/>
        <v>2.9019081531775797</v>
      </c>
      <c r="AR62">
        <f t="shared" ca="1" si="31"/>
        <v>2.4901963442910335</v>
      </c>
      <c r="AS62">
        <f t="shared" ca="1" si="32"/>
        <v>4.2193713842249609</v>
      </c>
      <c r="AT62">
        <f t="shared" ca="1" si="33"/>
        <v>3.2177059386519198</v>
      </c>
      <c r="AU62">
        <f t="shared" ca="1" si="34"/>
        <v>2.8010172060462537</v>
      </c>
      <c r="AV62">
        <f t="shared" ca="1" si="35"/>
        <v>3.8034289165414914</v>
      </c>
      <c r="AW62">
        <f t="shared" ca="1" si="36"/>
        <v>2.9992967703815614</v>
      </c>
      <c r="AX62">
        <f t="shared" ca="1" si="37"/>
        <v>3.0750061530945998</v>
      </c>
      <c r="AY62">
        <f t="shared" ca="1" si="38"/>
        <v>2.6188130483652206</v>
      </c>
      <c r="AZ62">
        <f t="shared" ca="1" si="39"/>
        <v>3.1977273133438024</v>
      </c>
    </row>
    <row r="63" spans="2:52" x14ac:dyDescent="0.35">
      <c r="B63" s="3">
        <v>45778</v>
      </c>
      <c r="C63" s="4">
        <v>395.70001220703102</v>
      </c>
      <c r="D63">
        <f t="shared" si="0"/>
        <v>-4.4242958710682435E-2</v>
      </c>
      <c r="L63" t="s">
        <v>158</v>
      </c>
      <c r="M63">
        <f t="shared" ca="1" si="40"/>
        <v>2.3512668326808512</v>
      </c>
      <c r="N63">
        <f t="shared" ca="1" si="41"/>
        <v>2.9807684139604369</v>
      </c>
      <c r="O63">
        <f t="shared" ca="1" si="2"/>
        <v>2.966911823315578</v>
      </c>
      <c r="P63">
        <f t="shared" ca="1" si="3"/>
        <v>2.9147769871660949</v>
      </c>
      <c r="Q63">
        <f t="shared" ca="1" si="4"/>
        <v>2.8954641248119355</v>
      </c>
      <c r="R63">
        <f t="shared" ca="1" si="5"/>
        <v>3.4073071677734257</v>
      </c>
      <c r="S63">
        <f t="shared" ca="1" si="6"/>
        <v>1.7168252828754083</v>
      </c>
      <c r="T63">
        <f t="shared" ca="1" si="7"/>
        <v>3.1732419330926644</v>
      </c>
      <c r="U63">
        <f t="shared" ca="1" si="8"/>
        <v>3.5914581240619863</v>
      </c>
      <c r="V63">
        <f t="shared" ca="1" si="9"/>
        <v>2.7798478114391409</v>
      </c>
      <c r="W63">
        <f t="shared" ca="1" si="10"/>
        <v>2.8350061581758328</v>
      </c>
      <c r="X63">
        <f t="shared" ca="1" si="11"/>
        <v>2.7898920826215083</v>
      </c>
      <c r="Y63">
        <f t="shared" ca="1" si="12"/>
        <v>2.986846901424804</v>
      </c>
      <c r="Z63">
        <f t="shared" ca="1" si="13"/>
        <v>3.213747399242366</v>
      </c>
      <c r="AA63">
        <f t="shared" ca="1" si="14"/>
        <v>2.5960705854771078</v>
      </c>
      <c r="AB63">
        <f t="shared" ca="1" si="15"/>
        <v>3.4013790153989065</v>
      </c>
      <c r="AC63">
        <f t="shared" ca="1" si="16"/>
        <v>2.6586626572830201</v>
      </c>
      <c r="AD63">
        <f t="shared" ca="1" si="17"/>
        <v>2.1221899174158412</v>
      </c>
      <c r="AE63">
        <f t="shared" ca="1" si="18"/>
        <v>2.2644826213186451</v>
      </c>
      <c r="AF63">
        <f t="shared" ca="1" si="19"/>
        <v>3.0765837478741829</v>
      </c>
      <c r="AG63">
        <f t="shared" ca="1" si="20"/>
        <v>3.0146829111612821</v>
      </c>
      <c r="AH63">
        <f t="shared" ca="1" si="21"/>
        <v>2.5646305466422459</v>
      </c>
      <c r="AI63">
        <f t="shared" ca="1" si="22"/>
        <v>4.2255309161251287</v>
      </c>
      <c r="AJ63">
        <f t="shared" ca="1" si="23"/>
        <v>3.1456345772655547</v>
      </c>
      <c r="AK63">
        <f t="shared" ca="1" si="24"/>
        <v>2.9807803352034337</v>
      </c>
      <c r="AL63">
        <f t="shared" ca="1" si="25"/>
        <v>3.7511807451837593</v>
      </c>
      <c r="AM63">
        <f t="shared" ca="1" si="26"/>
        <v>3.2717305855642129</v>
      </c>
      <c r="AN63">
        <f t="shared" ca="1" si="27"/>
        <v>2.8933830073649434</v>
      </c>
      <c r="AO63">
        <f t="shared" ca="1" si="28"/>
        <v>2.5066888281613489</v>
      </c>
      <c r="AP63">
        <f t="shared" ca="1" si="29"/>
        <v>3.2606713395366693</v>
      </c>
      <c r="AQ63">
        <f t="shared" ca="1" si="30"/>
        <v>2.913606843279986</v>
      </c>
      <c r="AR63">
        <f t="shared" ca="1" si="31"/>
        <v>2.4734539602028947</v>
      </c>
      <c r="AS63">
        <f t="shared" ca="1" si="32"/>
        <v>4.068316554779579</v>
      </c>
      <c r="AT63">
        <f t="shared" ca="1" si="33"/>
        <v>3.329782752653522</v>
      </c>
      <c r="AU63">
        <f t="shared" ca="1" si="34"/>
        <v>2.7757817123629631</v>
      </c>
      <c r="AV63">
        <f t="shared" ca="1" si="35"/>
        <v>3.6337326919174018</v>
      </c>
      <c r="AW63">
        <f t="shared" ca="1" si="36"/>
        <v>2.9425739096424279</v>
      </c>
      <c r="AX63">
        <f t="shared" ca="1" si="37"/>
        <v>3.0430266809732358</v>
      </c>
      <c r="AY63">
        <f t="shared" ca="1" si="38"/>
        <v>2.5773783775969852</v>
      </c>
      <c r="AZ63">
        <f t="shared" ca="1" si="39"/>
        <v>3.15933865806364</v>
      </c>
    </row>
    <row r="64" spans="2:52" x14ac:dyDescent="0.35">
      <c r="B64" s="3">
        <v>45779</v>
      </c>
      <c r="C64" s="4">
        <v>395.39999389648398</v>
      </c>
      <c r="D64">
        <f t="shared" si="0"/>
        <v>-7.5848394037586128E-4</v>
      </c>
      <c r="L64" t="s">
        <v>159</v>
      </c>
      <c r="M64">
        <f t="shared" ca="1" si="40"/>
        <v>2.4386271023585877</v>
      </c>
      <c r="N64">
        <f t="shared" ca="1" si="41"/>
        <v>3.0610042243263837</v>
      </c>
      <c r="O64">
        <f t="shared" ca="1" si="2"/>
        <v>3.0641894337793407</v>
      </c>
      <c r="P64">
        <f t="shared" ca="1" si="3"/>
        <v>2.9553520722375124</v>
      </c>
      <c r="Q64">
        <f t="shared" ca="1" si="4"/>
        <v>2.8429365825863293</v>
      </c>
      <c r="R64">
        <f t="shared" ca="1" si="5"/>
        <v>3.2912047041858563</v>
      </c>
      <c r="S64">
        <f t="shared" ca="1" si="6"/>
        <v>1.6929716983029184</v>
      </c>
      <c r="T64">
        <f t="shared" ca="1" si="7"/>
        <v>3.1392719325565555</v>
      </c>
      <c r="U64">
        <f t="shared" ca="1" si="8"/>
        <v>3.6090401810589006</v>
      </c>
      <c r="V64">
        <f t="shared" ca="1" si="9"/>
        <v>2.7970718240211028</v>
      </c>
      <c r="W64">
        <f t="shared" ca="1" si="10"/>
        <v>2.8514986388515946</v>
      </c>
      <c r="X64">
        <f t="shared" ca="1" si="11"/>
        <v>2.7910855606640421</v>
      </c>
      <c r="Y64">
        <f t="shared" ca="1" si="12"/>
        <v>3.021355201519095</v>
      </c>
      <c r="Z64">
        <f t="shared" ca="1" si="13"/>
        <v>3.1858343034949081</v>
      </c>
      <c r="AA64">
        <f t="shared" ca="1" si="14"/>
        <v>2.5310463799671155</v>
      </c>
      <c r="AB64">
        <f t="shared" ca="1" si="15"/>
        <v>3.2864083878547357</v>
      </c>
      <c r="AC64">
        <f t="shared" ca="1" si="16"/>
        <v>2.6582879420795957</v>
      </c>
      <c r="AD64">
        <f t="shared" ca="1" si="17"/>
        <v>2.0337308570391133</v>
      </c>
      <c r="AE64">
        <f t="shared" ca="1" si="18"/>
        <v>2.2144353013510036</v>
      </c>
      <c r="AF64">
        <f t="shared" ca="1" si="19"/>
        <v>2.8943622295578897</v>
      </c>
      <c r="AG64">
        <f t="shared" ca="1" si="20"/>
        <v>3.0807080419301212</v>
      </c>
      <c r="AH64">
        <f t="shared" ca="1" si="21"/>
        <v>2.5776553979734222</v>
      </c>
      <c r="AI64">
        <f t="shared" ca="1" si="22"/>
        <v>4.2754599887972713</v>
      </c>
      <c r="AJ64">
        <f t="shared" ca="1" si="23"/>
        <v>3.0964256197781768</v>
      </c>
      <c r="AK64">
        <f t="shared" ca="1" si="24"/>
        <v>2.8855663331471453</v>
      </c>
      <c r="AL64">
        <f t="shared" ca="1" si="25"/>
        <v>3.9648253015051145</v>
      </c>
      <c r="AM64">
        <f t="shared" ca="1" si="26"/>
        <v>3.1947358282820559</v>
      </c>
      <c r="AN64">
        <f t="shared" ca="1" si="27"/>
        <v>2.8307373521031383</v>
      </c>
      <c r="AO64">
        <f t="shared" ca="1" si="28"/>
        <v>2.4102223588457647</v>
      </c>
      <c r="AP64">
        <f t="shared" ca="1" si="29"/>
        <v>3.38873510761682</v>
      </c>
      <c r="AQ64">
        <f t="shared" ca="1" si="30"/>
        <v>2.9355546366798571</v>
      </c>
      <c r="AR64">
        <f t="shared" ca="1" si="31"/>
        <v>2.3371937833962937</v>
      </c>
      <c r="AS64">
        <f t="shared" ca="1" si="32"/>
        <v>4.039524506893172</v>
      </c>
      <c r="AT64">
        <f t="shared" ca="1" si="33"/>
        <v>3.2992242851728801</v>
      </c>
      <c r="AU64">
        <f t="shared" ca="1" si="34"/>
        <v>2.7460506440002579</v>
      </c>
      <c r="AV64">
        <f t="shared" ca="1" si="35"/>
        <v>3.629578672549596</v>
      </c>
      <c r="AW64">
        <f t="shared" ca="1" si="36"/>
        <v>2.8302221518382313</v>
      </c>
      <c r="AX64">
        <f t="shared" ca="1" si="37"/>
        <v>3.0252903832331213</v>
      </c>
      <c r="AY64">
        <f t="shared" ca="1" si="38"/>
        <v>2.5477347637983381</v>
      </c>
      <c r="AZ64">
        <f t="shared" ca="1" si="39"/>
        <v>3.2999010741621153</v>
      </c>
    </row>
    <row r="65" spans="2:52" x14ac:dyDescent="0.35">
      <c r="B65" s="3">
        <v>45782</v>
      </c>
      <c r="C65" s="4">
        <v>398.95001220703102</v>
      </c>
      <c r="D65">
        <f t="shared" si="0"/>
        <v>8.9382310519776041E-3</v>
      </c>
      <c r="L65" t="s">
        <v>160</v>
      </c>
      <c r="M65">
        <f t="shared" ca="1" si="40"/>
        <v>2.4875158891069038</v>
      </c>
      <c r="N65">
        <f t="shared" ca="1" si="41"/>
        <v>3.1237293583148849</v>
      </c>
      <c r="O65">
        <f t="shared" ca="1" si="2"/>
        <v>3.1557818278663174</v>
      </c>
      <c r="P65">
        <f t="shared" ca="1" si="3"/>
        <v>2.9718405485120201</v>
      </c>
      <c r="Q65">
        <f t="shared" ca="1" si="4"/>
        <v>2.921465318326145</v>
      </c>
      <c r="R65">
        <f t="shared" ca="1" si="5"/>
        <v>3.3525650181650253</v>
      </c>
      <c r="S65">
        <f t="shared" ca="1" si="6"/>
        <v>1.7378977742833881</v>
      </c>
      <c r="T65">
        <f t="shared" ca="1" si="7"/>
        <v>3.0245733178562872</v>
      </c>
      <c r="U65">
        <f t="shared" ca="1" si="8"/>
        <v>3.6673945579913103</v>
      </c>
      <c r="V65">
        <f t="shared" ca="1" si="9"/>
        <v>2.8045852063667907</v>
      </c>
      <c r="W65">
        <f t="shared" ca="1" si="10"/>
        <v>2.8290644648765451</v>
      </c>
      <c r="X65">
        <f t="shared" ca="1" si="11"/>
        <v>2.7782569307961471</v>
      </c>
      <c r="Y65">
        <f t="shared" ca="1" si="12"/>
        <v>2.94273026740058</v>
      </c>
      <c r="Z65">
        <f t="shared" ca="1" si="13"/>
        <v>3.2252917090664619</v>
      </c>
      <c r="AA65">
        <f t="shared" ca="1" si="14"/>
        <v>2.591148456563066</v>
      </c>
      <c r="AB65">
        <f t="shared" ca="1" si="15"/>
        <v>3.1942743926694814</v>
      </c>
      <c r="AC65">
        <f t="shared" ca="1" si="16"/>
        <v>2.7475721045718493</v>
      </c>
      <c r="AD65">
        <f t="shared" ca="1" si="17"/>
        <v>2.0846888524585596</v>
      </c>
      <c r="AE65">
        <f t="shared" ca="1" si="18"/>
        <v>2.1879618139945229</v>
      </c>
      <c r="AF65">
        <f t="shared" ca="1" si="19"/>
        <v>2.8926472680384756</v>
      </c>
      <c r="AG65">
        <f t="shared" ca="1" si="20"/>
        <v>3.0384042109775753</v>
      </c>
      <c r="AH65">
        <f t="shared" ca="1" si="21"/>
        <v>2.6329671861069519</v>
      </c>
      <c r="AI65">
        <f t="shared" ca="1" si="22"/>
        <v>4.3842614380681448</v>
      </c>
      <c r="AJ65">
        <f t="shared" ca="1" si="23"/>
        <v>3.1060265379259437</v>
      </c>
      <c r="AK65">
        <f t="shared" ca="1" si="24"/>
        <v>2.8304378651573927</v>
      </c>
      <c r="AL65">
        <f t="shared" ca="1" si="25"/>
        <v>4.0210460895319962</v>
      </c>
      <c r="AM65">
        <f t="shared" ca="1" si="26"/>
        <v>3.2108287243200682</v>
      </c>
      <c r="AN65">
        <f t="shared" ca="1" si="27"/>
        <v>2.9872824111311909</v>
      </c>
      <c r="AO65">
        <f t="shared" ca="1" si="28"/>
        <v>2.3930177216236932</v>
      </c>
      <c r="AP65">
        <f t="shared" ca="1" si="29"/>
        <v>3.5309394172000288</v>
      </c>
      <c r="AQ65">
        <f t="shared" ca="1" si="30"/>
        <v>3.0848136577858942</v>
      </c>
      <c r="AR65">
        <f t="shared" ca="1" si="31"/>
        <v>2.3485306225289038</v>
      </c>
      <c r="AS65">
        <f t="shared" ca="1" si="32"/>
        <v>4.0418367095196599</v>
      </c>
      <c r="AT65">
        <f t="shared" ca="1" si="33"/>
        <v>3.2551486671473993</v>
      </c>
      <c r="AU65">
        <f t="shared" ca="1" si="34"/>
        <v>2.6906107160374981</v>
      </c>
      <c r="AV65">
        <f t="shared" ca="1" si="35"/>
        <v>3.63003410573091</v>
      </c>
      <c r="AW65">
        <f t="shared" ca="1" si="36"/>
        <v>2.9233576627349489</v>
      </c>
      <c r="AX65">
        <f t="shared" ca="1" si="37"/>
        <v>3.0417664537598785</v>
      </c>
      <c r="AY65">
        <f t="shared" ca="1" si="38"/>
        <v>2.6995067666950008</v>
      </c>
      <c r="AZ65">
        <f t="shared" ca="1" si="39"/>
        <v>3.3225363200449278</v>
      </c>
    </row>
    <row r="66" spans="2:52" x14ac:dyDescent="0.35">
      <c r="B66" s="3">
        <v>45783</v>
      </c>
      <c r="C66" s="4">
        <v>401.100006103515</v>
      </c>
      <c r="D66">
        <f t="shared" si="0"/>
        <v>5.3746616407613513E-3</v>
      </c>
      <c r="L66" t="s">
        <v>161</v>
      </c>
      <c r="M66">
        <f t="shared" ca="1" si="40"/>
        <v>2.4684105520893946</v>
      </c>
      <c r="N66">
        <f t="shared" ca="1" si="41"/>
        <v>3.107839852573639</v>
      </c>
      <c r="O66">
        <f t="shared" ca="1" si="2"/>
        <v>3.1424458504089023</v>
      </c>
      <c r="P66">
        <f t="shared" ca="1" si="3"/>
        <v>2.9527163227116735</v>
      </c>
      <c r="Q66">
        <f t="shared" ca="1" si="4"/>
        <v>2.9536165726378698</v>
      </c>
      <c r="R66">
        <f t="shared" ca="1" si="5"/>
        <v>3.3240629291232029</v>
      </c>
      <c r="S66">
        <f t="shared" ca="1" si="6"/>
        <v>1.7463162098511351</v>
      </c>
      <c r="T66">
        <f t="shared" ca="1" si="7"/>
        <v>3.0124313413598611</v>
      </c>
      <c r="U66">
        <f t="shared" ca="1" si="8"/>
        <v>3.8344475676741898</v>
      </c>
      <c r="V66">
        <f t="shared" ca="1" si="9"/>
        <v>2.7105536172038498</v>
      </c>
      <c r="W66">
        <f t="shared" ca="1" si="10"/>
        <v>2.6679381180983186</v>
      </c>
      <c r="X66">
        <f t="shared" ca="1" si="11"/>
        <v>2.6869220828763964</v>
      </c>
      <c r="Y66">
        <f t="shared" ca="1" si="12"/>
        <v>2.9941906365316306</v>
      </c>
      <c r="Z66">
        <f t="shared" ca="1" si="13"/>
        <v>3.1457853815423689</v>
      </c>
      <c r="AA66">
        <f t="shared" ca="1" si="14"/>
        <v>2.5604035235829827</v>
      </c>
      <c r="AB66">
        <f t="shared" ca="1" si="15"/>
        <v>3.0373798346861198</v>
      </c>
      <c r="AC66">
        <f t="shared" ca="1" si="16"/>
        <v>2.6354248401434943</v>
      </c>
      <c r="AD66">
        <f t="shared" ca="1" si="17"/>
        <v>2.0546225092051742</v>
      </c>
      <c r="AE66">
        <f t="shared" ca="1" si="18"/>
        <v>2.1458370308557857</v>
      </c>
      <c r="AF66">
        <f t="shared" ca="1" si="19"/>
        <v>2.9144061093798079</v>
      </c>
      <c r="AG66">
        <f t="shared" ca="1" si="20"/>
        <v>3.2278559633571953</v>
      </c>
      <c r="AH66">
        <f t="shared" ca="1" si="21"/>
        <v>2.5838967289759536</v>
      </c>
      <c r="AI66">
        <f t="shared" ca="1" si="22"/>
        <v>4.3692130334322998</v>
      </c>
      <c r="AJ66">
        <f t="shared" ca="1" si="23"/>
        <v>3.2261283613310705</v>
      </c>
      <c r="AK66">
        <f t="shared" ca="1" si="24"/>
        <v>2.7421229830338776</v>
      </c>
      <c r="AL66">
        <f t="shared" ca="1" si="25"/>
        <v>3.9185808329633978</v>
      </c>
      <c r="AM66">
        <f t="shared" ca="1" si="26"/>
        <v>3.1135328641084135</v>
      </c>
      <c r="AN66">
        <f t="shared" ca="1" si="27"/>
        <v>2.9634400633497999</v>
      </c>
      <c r="AO66">
        <f t="shared" ca="1" si="28"/>
        <v>2.5320367010586429</v>
      </c>
      <c r="AP66">
        <f t="shared" ca="1" si="29"/>
        <v>3.5220332709631341</v>
      </c>
      <c r="AQ66">
        <f t="shared" ca="1" si="30"/>
        <v>2.9712388764338913</v>
      </c>
      <c r="AR66">
        <f t="shared" ca="1" si="31"/>
        <v>2.3717721917512482</v>
      </c>
      <c r="AS66">
        <f t="shared" ca="1" si="32"/>
        <v>4.2843034379873819</v>
      </c>
      <c r="AT66">
        <f t="shared" ca="1" si="33"/>
        <v>3.3077112722661557</v>
      </c>
      <c r="AU66">
        <f t="shared" ca="1" si="34"/>
        <v>2.7709838461475873</v>
      </c>
      <c r="AV66">
        <f t="shared" ca="1" si="35"/>
        <v>3.7071777761064229</v>
      </c>
      <c r="AW66">
        <f t="shared" ca="1" si="36"/>
        <v>2.7485592243228156</v>
      </c>
      <c r="AX66">
        <f t="shared" ca="1" si="37"/>
        <v>3.1403429386666977</v>
      </c>
      <c r="AY66">
        <f t="shared" ca="1" si="38"/>
        <v>2.5550143915009547</v>
      </c>
      <c r="AZ66">
        <f t="shared" ca="1" si="39"/>
        <v>3.549567811465566</v>
      </c>
    </row>
    <row r="67" spans="2:52" x14ac:dyDescent="0.35">
      <c r="B67" s="3">
        <v>45784</v>
      </c>
      <c r="C67" s="4">
        <v>396.20001220703102</v>
      </c>
      <c r="D67">
        <f t="shared" si="0"/>
        <v>-1.2291622918222705E-2</v>
      </c>
      <c r="L67" t="s">
        <v>162</v>
      </c>
      <c r="M67">
        <f t="shared" ca="1" si="40"/>
        <v>2.4998437332602519</v>
      </c>
      <c r="N67">
        <f t="shared" ca="1" si="41"/>
        <v>3.0413129178991283</v>
      </c>
      <c r="O67">
        <f t="shared" ca="1" si="2"/>
        <v>3.1197980780947168</v>
      </c>
      <c r="P67">
        <f t="shared" ca="1" si="3"/>
        <v>3.0084334821022485</v>
      </c>
      <c r="Q67">
        <f t="shared" ca="1" si="4"/>
        <v>2.9585670010578164</v>
      </c>
      <c r="R67">
        <f t="shared" ca="1" si="5"/>
        <v>3.2737167563546135</v>
      </c>
      <c r="S67">
        <f t="shared" ca="1" si="6"/>
        <v>1.7635247085053753</v>
      </c>
      <c r="T67">
        <f t="shared" ca="1" si="7"/>
        <v>3.1061100413727032</v>
      </c>
      <c r="U67">
        <f t="shared" ca="1" si="8"/>
        <v>3.9793405601632297</v>
      </c>
      <c r="V67">
        <f t="shared" ca="1" si="9"/>
        <v>2.7197903598814341</v>
      </c>
      <c r="W67">
        <f t="shared" ca="1" si="10"/>
        <v>2.7012267541286978</v>
      </c>
      <c r="X67">
        <f t="shared" ca="1" si="11"/>
        <v>2.5510455894237869</v>
      </c>
      <c r="Y67">
        <f t="shared" ca="1" si="12"/>
        <v>2.8468465170378514</v>
      </c>
      <c r="Z67">
        <f t="shared" ca="1" si="13"/>
        <v>3.1410332373329974</v>
      </c>
      <c r="AA67">
        <f t="shared" ca="1" si="14"/>
        <v>2.6225931181569444</v>
      </c>
      <c r="AB67">
        <f t="shared" ca="1" si="15"/>
        <v>3.0381815942698354</v>
      </c>
      <c r="AC67">
        <f t="shared" ca="1" si="16"/>
        <v>2.6008214509430063</v>
      </c>
      <c r="AD67">
        <f t="shared" ca="1" si="17"/>
        <v>2.0644225865287176</v>
      </c>
      <c r="AE67">
        <f t="shared" ca="1" si="18"/>
        <v>2.0798275687216194</v>
      </c>
      <c r="AF67">
        <f t="shared" ca="1" si="19"/>
        <v>2.9074608409740361</v>
      </c>
      <c r="AG67">
        <f t="shared" ca="1" si="20"/>
        <v>3.1845703096476843</v>
      </c>
      <c r="AH67">
        <f t="shared" ca="1" si="21"/>
        <v>2.5556782928687327</v>
      </c>
      <c r="AI67">
        <f t="shared" ca="1" si="22"/>
        <v>4.3221404584762126</v>
      </c>
      <c r="AJ67">
        <f t="shared" ca="1" si="23"/>
        <v>3.3440428849599648</v>
      </c>
      <c r="AK67">
        <f t="shared" ca="1" si="24"/>
        <v>2.7992194451854151</v>
      </c>
      <c r="AL67">
        <f t="shared" ca="1" si="25"/>
        <v>3.8907867787523558</v>
      </c>
      <c r="AM67">
        <f t="shared" ca="1" si="26"/>
        <v>3.2151056945289391</v>
      </c>
      <c r="AN67">
        <f t="shared" ca="1" si="27"/>
        <v>3.0358097098641932</v>
      </c>
      <c r="AO67">
        <f t="shared" ca="1" si="28"/>
        <v>2.5177976736088348</v>
      </c>
      <c r="AP67">
        <f t="shared" ca="1" si="29"/>
        <v>3.3341496759858242</v>
      </c>
      <c r="AQ67">
        <f t="shared" ca="1" si="30"/>
        <v>2.8537400107781759</v>
      </c>
      <c r="AR67">
        <f t="shared" ca="1" si="31"/>
        <v>2.4668295206969444</v>
      </c>
      <c r="AS67">
        <f t="shared" ca="1" si="32"/>
        <v>4.3800508914436866</v>
      </c>
      <c r="AT67">
        <f t="shared" ca="1" si="33"/>
        <v>3.4368105688251886</v>
      </c>
      <c r="AU67">
        <f t="shared" ca="1" si="34"/>
        <v>2.8433636523827834</v>
      </c>
      <c r="AV67">
        <f t="shared" ca="1" si="35"/>
        <v>3.6685416510271462</v>
      </c>
      <c r="AW67">
        <f t="shared" ca="1" si="36"/>
        <v>2.6284342831976302</v>
      </c>
      <c r="AX67">
        <f t="shared" ca="1" si="37"/>
        <v>3.0084651587658637</v>
      </c>
      <c r="AY67">
        <f t="shared" ca="1" si="38"/>
        <v>2.6358414523770191</v>
      </c>
      <c r="AZ67">
        <f t="shared" ca="1" si="39"/>
        <v>3.5266245593040964</v>
      </c>
    </row>
    <row r="68" spans="2:52" x14ac:dyDescent="0.35">
      <c r="B68" s="3">
        <v>45785</v>
      </c>
      <c r="C68" s="4">
        <v>397.79998779296801</v>
      </c>
      <c r="D68">
        <f t="shared" si="0"/>
        <v>4.0301706587911193E-3</v>
      </c>
      <c r="L68" t="s">
        <v>163</v>
      </c>
      <c r="M68">
        <f t="shared" ca="1" si="40"/>
        <v>2.5805333751910866</v>
      </c>
      <c r="N68">
        <f t="shared" ca="1" si="41"/>
        <v>3.2409955027113138</v>
      </c>
      <c r="O68">
        <f t="shared" ca="1" si="2"/>
        <v>3.1396159745254737</v>
      </c>
      <c r="P68">
        <f t="shared" ca="1" si="3"/>
        <v>2.8869315338467567</v>
      </c>
      <c r="Q68">
        <f t="shared" ca="1" si="4"/>
        <v>2.9607443445208936</v>
      </c>
      <c r="R68">
        <f t="shared" ca="1" si="5"/>
        <v>3.261701619770101</v>
      </c>
      <c r="S68">
        <f t="shared" ca="1" si="6"/>
        <v>1.7823097114632376</v>
      </c>
      <c r="T68">
        <f t="shared" ca="1" si="7"/>
        <v>3.2074797856830948</v>
      </c>
      <c r="U68">
        <f t="shared" ca="1" si="8"/>
        <v>4.108551830617766</v>
      </c>
      <c r="V68">
        <f t="shared" ca="1" si="9"/>
        <v>2.7690140234776486</v>
      </c>
      <c r="W68">
        <f t="shared" ca="1" si="10"/>
        <v>2.7955809240175808</v>
      </c>
      <c r="X68">
        <f t="shared" ca="1" si="11"/>
        <v>2.545274881824465</v>
      </c>
      <c r="Y68">
        <f t="shared" ca="1" si="12"/>
        <v>2.8860163463393462</v>
      </c>
      <c r="Z68">
        <f t="shared" ca="1" si="13"/>
        <v>3.1471414367720389</v>
      </c>
      <c r="AA68">
        <f t="shared" ca="1" si="14"/>
        <v>2.6572818509263527</v>
      </c>
      <c r="AB68">
        <f t="shared" ca="1" si="15"/>
        <v>2.9259095826593389</v>
      </c>
      <c r="AC68">
        <f t="shared" ca="1" si="16"/>
        <v>2.5023598483253351</v>
      </c>
      <c r="AD68">
        <f t="shared" ca="1" si="17"/>
        <v>2.0173222579773986</v>
      </c>
      <c r="AE68">
        <f t="shared" ca="1" si="18"/>
        <v>2.0975419633759325</v>
      </c>
      <c r="AF68">
        <f t="shared" ca="1" si="19"/>
        <v>2.9568241641896824</v>
      </c>
      <c r="AG68">
        <f t="shared" ca="1" si="20"/>
        <v>3.1617055624488168</v>
      </c>
      <c r="AH68">
        <f t="shared" ca="1" si="21"/>
        <v>2.531648456578337</v>
      </c>
      <c r="AI68">
        <f t="shared" ca="1" si="22"/>
        <v>4.3886875505997098</v>
      </c>
      <c r="AJ68">
        <f t="shared" ca="1" si="23"/>
        <v>3.2271375633700132</v>
      </c>
      <c r="AK68">
        <f t="shared" ca="1" si="24"/>
        <v>2.8183708574817876</v>
      </c>
      <c r="AL68">
        <f t="shared" ca="1" si="25"/>
        <v>3.8925220142524468</v>
      </c>
      <c r="AM68">
        <f t="shared" ca="1" si="26"/>
        <v>3.2983225994960126</v>
      </c>
      <c r="AN68">
        <f t="shared" ca="1" si="27"/>
        <v>3.1579050177342571</v>
      </c>
      <c r="AO68">
        <f t="shared" ca="1" si="28"/>
        <v>2.5349530360946972</v>
      </c>
      <c r="AP68">
        <f t="shared" ca="1" si="29"/>
        <v>3.3415692375443826</v>
      </c>
      <c r="AQ68">
        <f t="shared" ca="1" si="30"/>
        <v>2.9601218215735821</v>
      </c>
      <c r="AR68">
        <f t="shared" ca="1" si="31"/>
        <v>2.4301463213275536</v>
      </c>
      <c r="AS68">
        <f t="shared" ca="1" si="32"/>
        <v>4.4678053894882463</v>
      </c>
      <c r="AT68">
        <f t="shared" ca="1" si="33"/>
        <v>3.3643879987790166</v>
      </c>
      <c r="AU68">
        <f t="shared" ca="1" si="34"/>
        <v>2.9564409233232936</v>
      </c>
      <c r="AV68">
        <f t="shared" ca="1" si="35"/>
        <v>3.7191452065695585</v>
      </c>
      <c r="AW68">
        <f t="shared" ca="1" si="36"/>
        <v>2.6917803813451719</v>
      </c>
      <c r="AX68">
        <f t="shared" ca="1" si="37"/>
        <v>3.0587426736725729</v>
      </c>
      <c r="AY68">
        <f t="shared" ca="1" si="38"/>
        <v>2.8055097106696136</v>
      </c>
      <c r="AZ68">
        <f t="shared" ca="1" si="39"/>
        <v>3.5179617688094971</v>
      </c>
    </row>
    <row r="69" spans="2:52" x14ac:dyDescent="0.35">
      <c r="B69" s="3">
        <v>45786</v>
      </c>
      <c r="C69" s="4">
        <v>397.14999389648398</v>
      </c>
      <c r="D69">
        <f t="shared" si="0"/>
        <v>-1.6353080226646245E-3</v>
      </c>
      <c r="L69" t="s">
        <v>164</v>
      </c>
      <c r="M69">
        <f t="shared" ca="1" si="40"/>
        <v>2.5778980121130259</v>
      </c>
      <c r="N69">
        <f t="shared" ca="1" si="41"/>
        <v>3.2157695291511414</v>
      </c>
      <c r="O69">
        <f t="shared" ca="1" si="2"/>
        <v>3.175245004646249</v>
      </c>
      <c r="P69">
        <f t="shared" ca="1" si="3"/>
        <v>2.8665498054204575</v>
      </c>
      <c r="Q69">
        <f t="shared" ca="1" si="4"/>
        <v>2.9411452819301194</v>
      </c>
      <c r="R69">
        <f t="shared" ca="1" si="5"/>
        <v>3.2430949307931995</v>
      </c>
      <c r="S69">
        <f t="shared" ca="1" si="6"/>
        <v>1.8228625024023544</v>
      </c>
      <c r="T69">
        <f t="shared" ca="1" si="7"/>
        <v>3.2718211085843052</v>
      </c>
      <c r="U69">
        <f t="shared" ca="1" si="8"/>
        <v>4.0633186708698998</v>
      </c>
      <c r="V69">
        <f t="shared" ca="1" si="9"/>
        <v>2.7909037841550224</v>
      </c>
      <c r="W69">
        <f t="shared" ca="1" si="10"/>
        <v>2.7570984035015011</v>
      </c>
      <c r="X69">
        <f t="shared" ca="1" si="11"/>
        <v>2.5479789667288206</v>
      </c>
      <c r="Y69">
        <f t="shared" ca="1" si="12"/>
        <v>2.9298908256368525</v>
      </c>
      <c r="Z69">
        <f t="shared" ca="1" si="13"/>
        <v>3.1952596344350859</v>
      </c>
      <c r="AA69">
        <f t="shared" ca="1" si="14"/>
        <v>2.6532982262261413</v>
      </c>
      <c r="AB69">
        <f t="shared" ca="1" si="15"/>
        <v>2.9806138306102916</v>
      </c>
      <c r="AC69">
        <f t="shared" ca="1" si="16"/>
        <v>2.526576042106194</v>
      </c>
      <c r="AD69">
        <f t="shared" ca="1" si="17"/>
        <v>1.9722670059256435</v>
      </c>
      <c r="AE69">
        <f t="shared" ca="1" si="18"/>
        <v>2.0669107465357861</v>
      </c>
      <c r="AF69">
        <f t="shared" ca="1" si="19"/>
        <v>2.9704904423971583</v>
      </c>
      <c r="AG69">
        <f t="shared" ca="1" si="20"/>
        <v>3.2489471173351188</v>
      </c>
      <c r="AH69">
        <f t="shared" ca="1" si="21"/>
        <v>2.4990729065617052</v>
      </c>
      <c r="AI69">
        <f t="shared" ca="1" si="22"/>
        <v>4.3814389496395192</v>
      </c>
      <c r="AJ69">
        <f t="shared" ca="1" si="23"/>
        <v>3.160840509281059</v>
      </c>
      <c r="AK69">
        <f t="shared" ca="1" si="24"/>
        <v>2.8856304311364109</v>
      </c>
      <c r="AL69">
        <f t="shared" ca="1" si="25"/>
        <v>4.0577183685789366</v>
      </c>
      <c r="AM69">
        <f t="shared" ca="1" si="26"/>
        <v>3.2814082608604482</v>
      </c>
      <c r="AN69">
        <f t="shared" ca="1" si="27"/>
        <v>3.1717862658247533</v>
      </c>
      <c r="AO69">
        <f t="shared" ca="1" si="28"/>
        <v>2.5568268762817317</v>
      </c>
      <c r="AP69">
        <f t="shared" ca="1" si="29"/>
        <v>3.2472828803108449</v>
      </c>
      <c r="AQ69">
        <f t="shared" ca="1" si="30"/>
        <v>2.9166816478238395</v>
      </c>
      <c r="AR69">
        <f t="shared" ca="1" si="31"/>
        <v>2.3759120778470382</v>
      </c>
      <c r="AS69">
        <f t="shared" ca="1" si="32"/>
        <v>4.6097156442216596</v>
      </c>
      <c r="AT69">
        <f t="shared" ca="1" si="33"/>
        <v>3.3581643561166823</v>
      </c>
      <c r="AU69">
        <f t="shared" ca="1" si="34"/>
        <v>2.8896737810184661</v>
      </c>
      <c r="AV69">
        <f t="shared" ca="1" si="35"/>
        <v>3.6552786590843436</v>
      </c>
      <c r="AW69">
        <f t="shared" ca="1" si="36"/>
        <v>2.6490689239914795</v>
      </c>
      <c r="AX69">
        <f t="shared" ca="1" si="37"/>
        <v>2.9227069101184884</v>
      </c>
      <c r="AY69">
        <f t="shared" ca="1" si="38"/>
        <v>2.8356233487580238</v>
      </c>
      <c r="AZ69">
        <f t="shared" ca="1" si="39"/>
        <v>3.6150666892115932</v>
      </c>
    </row>
    <row r="70" spans="2:52" x14ac:dyDescent="0.35">
      <c r="B70" s="3">
        <v>45789</v>
      </c>
      <c r="C70" s="4">
        <v>382.45001220703102</v>
      </c>
      <c r="D70">
        <f t="shared" ref="D70:D133" si="42">LN(C70/C69)</f>
        <v>-3.7716070024998445E-2</v>
      </c>
      <c r="L70" t="s">
        <v>165</v>
      </c>
      <c r="M70">
        <f t="shared" ca="1" si="40"/>
        <v>2.7034980820785095</v>
      </c>
      <c r="N70">
        <f t="shared" ca="1" si="41"/>
        <v>3.2833604129356488</v>
      </c>
      <c r="O70">
        <f t="shared" ca="1" si="2"/>
        <v>3.1419695544271815</v>
      </c>
      <c r="P70">
        <f t="shared" ca="1" si="3"/>
        <v>2.8625017320246418</v>
      </c>
      <c r="Q70">
        <f t="shared" ca="1" si="4"/>
        <v>2.9505223244040848</v>
      </c>
      <c r="R70">
        <f t="shared" ca="1" si="5"/>
        <v>3.2887657223249653</v>
      </c>
      <c r="S70">
        <f t="shared" ca="1" si="6"/>
        <v>1.8938840715812326</v>
      </c>
      <c r="T70">
        <f t="shared" ca="1" si="7"/>
        <v>3.3401629451597201</v>
      </c>
      <c r="U70">
        <f t="shared" ca="1" si="8"/>
        <v>4.1001268158988813</v>
      </c>
      <c r="V70">
        <f t="shared" ca="1" si="9"/>
        <v>2.7552845145190497</v>
      </c>
      <c r="W70">
        <f t="shared" ca="1" si="10"/>
        <v>2.7634002168992309</v>
      </c>
      <c r="X70">
        <f t="shared" ca="1" si="11"/>
        <v>2.5014564521492479</v>
      </c>
      <c r="Y70">
        <f t="shared" ca="1" si="12"/>
        <v>2.9558080832897557</v>
      </c>
      <c r="Z70">
        <f t="shared" ca="1" si="13"/>
        <v>3.2146637554138868</v>
      </c>
      <c r="AA70">
        <f t="shared" ca="1" si="14"/>
        <v>2.7071747751616964</v>
      </c>
      <c r="AB70">
        <f t="shared" ca="1" si="15"/>
        <v>2.9920605611483762</v>
      </c>
      <c r="AC70">
        <f t="shared" ca="1" si="16"/>
        <v>2.55232234263427</v>
      </c>
      <c r="AD70">
        <f t="shared" ca="1" si="17"/>
        <v>1.9710781858877695</v>
      </c>
      <c r="AE70">
        <f t="shared" ca="1" si="18"/>
        <v>2.0319730931562208</v>
      </c>
      <c r="AF70">
        <f t="shared" ca="1" si="19"/>
        <v>2.9551566557923654</v>
      </c>
      <c r="AG70">
        <f t="shared" ca="1" si="20"/>
        <v>3.2970256298730973</v>
      </c>
      <c r="AH70">
        <f t="shared" ca="1" si="21"/>
        <v>2.5268481831244567</v>
      </c>
      <c r="AI70">
        <f t="shared" ca="1" si="22"/>
        <v>4.3345544143755932</v>
      </c>
      <c r="AJ70">
        <f t="shared" ca="1" si="23"/>
        <v>3.1895794903358037</v>
      </c>
      <c r="AK70">
        <f t="shared" ca="1" si="24"/>
        <v>2.8826222486704407</v>
      </c>
      <c r="AL70">
        <f t="shared" ca="1" si="25"/>
        <v>4.1529600053215034</v>
      </c>
      <c r="AM70">
        <f t="shared" ca="1" si="26"/>
        <v>3.3671419880087892</v>
      </c>
      <c r="AN70">
        <f t="shared" ca="1" si="27"/>
        <v>3.2074876827281935</v>
      </c>
      <c r="AO70">
        <f t="shared" ca="1" si="28"/>
        <v>2.5828388356628698</v>
      </c>
      <c r="AP70">
        <f t="shared" ca="1" si="29"/>
        <v>3.1926746150035701</v>
      </c>
      <c r="AQ70">
        <f t="shared" ca="1" si="30"/>
        <v>2.9679350842935528</v>
      </c>
      <c r="AR70">
        <f t="shared" ca="1" si="31"/>
        <v>2.3266905692265967</v>
      </c>
      <c r="AS70">
        <f t="shared" ca="1" si="32"/>
        <v>4.348219774855056</v>
      </c>
      <c r="AT70">
        <f t="shared" ca="1" si="33"/>
        <v>3.2773531487774443</v>
      </c>
      <c r="AU70">
        <f t="shared" ca="1" si="34"/>
        <v>2.9566904943293171</v>
      </c>
      <c r="AV70">
        <f t="shared" ca="1" si="35"/>
        <v>3.739821625945738</v>
      </c>
      <c r="AW70">
        <f t="shared" ca="1" si="36"/>
        <v>2.6587907516822238</v>
      </c>
      <c r="AX70">
        <f t="shared" ca="1" si="37"/>
        <v>2.958131961247386</v>
      </c>
      <c r="AY70">
        <f t="shared" ca="1" si="38"/>
        <v>2.8600780099558349</v>
      </c>
      <c r="AZ70">
        <f t="shared" ca="1" si="39"/>
        <v>3.7168661968266199</v>
      </c>
    </row>
    <row r="71" spans="2:52" x14ac:dyDescent="0.35">
      <c r="B71" s="3">
        <v>45790</v>
      </c>
      <c r="C71" s="4">
        <v>384.850006103515</v>
      </c>
      <c r="D71">
        <f t="shared" si="42"/>
        <v>6.2557061539376861E-3</v>
      </c>
      <c r="L71" t="s">
        <v>166</v>
      </c>
      <c r="M71">
        <f t="shared" ca="1" si="40"/>
        <v>2.7072128319939019</v>
      </c>
      <c r="N71">
        <f t="shared" ca="1" si="41"/>
        <v>3.3386439297774229</v>
      </c>
      <c r="O71">
        <f t="shared" ref="O71:O130" ca="1" si="43">O70*EXP(($G$6-0.5*$J$6^2)*$G$7+($J$6*SQRT($G$7)*_xlfn.NORM.S.INV(RAND())))</f>
        <v>3.1544565156649682</v>
      </c>
      <c r="P71">
        <f t="shared" ref="P71:P130" ca="1" si="44">P70*EXP(($G$6-0.5*$J$6^2)*$G$7+($J$6*SQRT($G$7)*_xlfn.NORM.S.INV(RAND())))</f>
        <v>2.8966705045295544</v>
      </c>
      <c r="Q71">
        <f t="shared" ref="Q71:Q130" ca="1" si="45">Q70*EXP(($G$6-0.5*$J$6^2)*$G$7+($J$6*SQRT($G$7)*_xlfn.NORM.S.INV(RAND())))</f>
        <v>2.94989854699983</v>
      </c>
      <c r="R71">
        <f t="shared" ref="R71:R130" ca="1" si="46">R70*EXP(($G$6-0.5*$J$6^2)*$G$7+($J$6*SQRT($G$7)*_xlfn.NORM.S.INV(RAND())))</f>
        <v>3.2818900804559545</v>
      </c>
      <c r="S71">
        <f t="shared" ref="S71:S130" ca="1" si="47">S70*EXP(($G$6-0.5*$J$6^2)*$G$7+($J$6*SQRT($G$7)*_xlfn.NORM.S.INV(RAND())))</f>
        <v>1.9703775961868273</v>
      </c>
      <c r="T71">
        <f t="shared" ref="T71:T130" ca="1" si="48">T70*EXP(($G$6-0.5*$J$6^2)*$G$7+($J$6*SQRT($G$7)*_xlfn.NORM.S.INV(RAND())))</f>
        <v>3.2960711005758419</v>
      </c>
      <c r="U71">
        <f t="shared" ref="U71:U130" ca="1" si="49">U70*EXP(($G$6-0.5*$J$6^2)*$G$7+($J$6*SQRT($G$7)*_xlfn.NORM.S.INV(RAND())))</f>
        <v>4.0975918832607796</v>
      </c>
      <c r="V71">
        <f t="shared" ref="V71:V130" ca="1" si="50">V70*EXP(($G$6-0.5*$J$6^2)*$G$7+($J$6*SQRT($G$7)*_xlfn.NORM.S.INV(RAND())))</f>
        <v>2.7245141152377417</v>
      </c>
      <c r="W71">
        <f t="shared" ref="W71:W130" ca="1" si="51">W70*EXP(($G$6-0.5*$J$6^2)*$G$7+($J$6*SQRT($G$7)*_xlfn.NORM.S.INV(RAND())))</f>
        <v>2.7505515583941182</v>
      </c>
      <c r="X71">
        <f t="shared" ref="X71:X130" ca="1" si="52">X70*EXP(($G$6-0.5*$J$6^2)*$G$7+($J$6*SQRT($G$7)*_xlfn.NORM.S.INV(RAND())))</f>
        <v>2.3656149679985305</v>
      </c>
      <c r="Y71">
        <f t="shared" ref="Y71:Y130" ca="1" si="53">Y70*EXP(($G$6-0.5*$J$6^2)*$G$7+($J$6*SQRT($G$7)*_xlfn.NORM.S.INV(RAND())))</f>
        <v>3.0496301679097484</v>
      </c>
      <c r="Z71">
        <f t="shared" ref="Z71:Z130" ca="1" si="54">Z70*EXP(($G$6-0.5*$J$6^2)*$G$7+($J$6*SQRT($G$7)*_xlfn.NORM.S.INV(RAND())))</f>
        <v>3.2123853925484958</v>
      </c>
      <c r="AA71">
        <f t="shared" ref="AA71:AA130" ca="1" si="55">AA70*EXP(($G$6-0.5*$J$6^2)*$G$7+($J$6*SQRT($G$7)*_xlfn.NORM.S.INV(RAND())))</f>
        <v>2.7655908316411808</v>
      </c>
      <c r="AB71">
        <f t="shared" ref="AB71:AB130" ca="1" si="56">AB70*EXP(($G$6-0.5*$J$6^2)*$G$7+($J$6*SQRT($G$7)*_xlfn.NORM.S.INV(RAND())))</f>
        <v>2.9240581650673105</v>
      </c>
      <c r="AC71">
        <f t="shared" ref="AC71:AC130" ca="1" si="57">AC70*EXP(($G$6-0.5*$J$6^2)*$G$7+($J$6*SQRT($G$7)*_xlfn.NORM.S.INV(RAND())))</f>
        <v>2.6496749502367076</v>
      </c>
      <c r="AD71">
        <f t="shared" ref="AD71:AD130" ca="1" si="58">AD70*EXP(($G$6-0.5*$J$6^2)*$G$7+($J$6*SQRT($G$7)*_xlfn.NORM.S.INV(RAND())))</f>
        <v>2.0338137171289974</v>
      </c>
      <c r="AE71">
        <f t="shared" ref="AE71:AE130" ca="1" si="59">AE70*EXP(($G$6-0.5*$J$6^2)*$G$7+($J$6*SQRT($G$7)*_xlfn.NORM.S.INV(RAND())))</f>
        <v>2.0330207607829789</v>
      </c>
      <c r="AF71">
        <f t="shared" ref="AF71:AF130" ca="1" si="60">AF70*EXP(($G$6-0.5*$J$6^2)*$G$7+($J$6*SQRT($G$7)*_xlfn.NORM.S.INV(RAND())))</f>
        <v>3.0425665330477938</v>
      </c>
      <c r="AG71">
        <f t="shared" ref="AG71:AG130" ca="1" si="61">AG70*EXP(($G$6-0.5*$J$6^2)*$G$7+($J$6*SQRT($G$7)*_xlfn.NORM.S.INV(RAND())))</f>
        <v>3.3047412215975243</v>
      </c>
      <c r="AH71">
        <f t="shared" ref="AH71:AH130" ca="1" si="62">AH70*EXP(($G$6-0.5*$J$6^2)*$G$7+($J$6*SQRT($G$7)*_xlfn.NORM.S.INV(RAND())))</f>
        <v>2.5595737661284259</v>
      </c>
      <c r="AI71">
        <f t="shared" ref="AI71:AI130" ca="1" si="63">AI70*EXP(($G$6-0.5*$J$6^2)*$G$7+($J$6*SQRT($G$7)*_xlfn.NORM.S.INV(RAND())))</f>
        <v>4.3549262649334599</v>
      </c>
      <c r="AJ71">
        <f t="shared" ref="AJ71:AJ130" ca="1" si="64">AJ70*EXP(($G$6-0.5*$J$6^2)*$G$7+($J$6*SQRT($G$7)*_xlfn.NORM.S.INV(RAND())))</f>
        <v>3.2279880440401811</v>
      </c>
      <c r="AK71">
        <f t="shared" ref="AK71:AK130" ca="1" si="65">AK70*EXP(($G$6-0.5*$J$6^2)*$G$7+($J$6*SQRT($G$7)*_xlfn.NORM.S.INV(RAND())))</f>
        <v>2.7592360376190648</v>
      </c>
      <c r="AL71">
        <f t="shared" ref="AL71:AL130" ca="1" si="66">AL70*EXP(($G$6-0.5*$J$6^2)*$G$7+($J$6*SQRT($G$7)*_xlfn.NORM.S.INV(RAND())))</f>
        <v>4.0739403599275485</v>
      </c>
      <c r="AM71">
        <f t="shared" ref="AM71:AM130" ca="1" si="67">AM70*EXP(($G$6-0.5*$J$6^2)*$G$7+($J$6*SQRT($G$7)*_xlfn.NORM.S.INV(RAND())))</f>
        <v>3.35533015228294</v>
      </c>
      <c r="AN71">
        <f t="shared" ref="AN71:AN130" ca="1" si="68">AN70*EXP(($G$6-0.5*$J$6^2)*$G$7+($J$6*SQRT($G$7)*_xlfn.NORM.S.INV(RAND())))</f>
        <v>3.2633316550362803</v>
      </c>
      <c r="AO71">
        <f t="shared" ref="AO71:AO130" ca="1" si="69">AO70*EXP(($G$6-0.5*$J$6^2)*$G$7+($J$6*SQRT($G$7)*_xlfn.NORM.S.INV(RAND())))</f>
        <v>2.6366684279550623</v>
      </c>
      <c r="AP71">
        <f t="shared" ref="AP71:AP130" ca="1" si="70">AP70*EXP(($G$6-0.5*$J$6^2)*$G$7+($J$6*SQRT($G$7)*_xlfn.NORM.S.INV(RAND())))</f>
        <v>3.3279175693729752</v>
      </c>
      <c r="AQ71">
        <f t="shared" ref="AQ71:AQ130" ca="1" si="71">AQ70*EXP(($G$6-0.5*$J$6^2)*$G$7+($J$6*SQRT($G$7)*_xlfn.NORM.S.INV(RAND())))</f>
        <v>2.9368759839449905</v>
      </c>
      <c r="AR71">
        <f t="shared" ref="AR71:AR130" ca="1" si="72">AR70*EXP(($G$6-0.5*$J$6^2)*$G$7+($J$6*SQRT($G$7)*_xlfn.NORM.S.INV(RAND())))</f>
        <v>2.2917861364494145</v>
      </c>
      <c r="AS71">
        <f t="shared" ref="AS71:AS130" ca="1" si="73">AS70*EXP(($G$6-0.5*$J$6^2)*$G$7+($J$6*SQRT($G$7)*_xlfn.NORM.S.INV(RAND())))</f>
        <v>4.3620816283787383</v>
      </c>
      <c r="AT71">
        <f t="shared" ref="AT71:AT130" ca="1" si="74">AT70*EXP(($G$6-0.5*$J$6^2)*$G$7+($J$6*SQRT($G$7)*_xlfn.NORM.S.INV(RAND())))</f>
        <v>3.3488208869660245</v>
      </c>
      <c r="AU71">
        <f t="shared" ref="AU71:AU130" ca="1" si="75">AU70*EXP(($G$6-0.5*$J$6^2)*$G$7+($J$6*SQRT($G$7)*_xlfn.NORM.S.INV(RAND())))</f>
        <v>2.9240322592558878</v>
      </c>
      <c r="AV71">
        <f t="shared" ref="AV71:AV130" ca="1" si="76">AV70*EXP(($G$6-0.5*$J$6^2)*$G$7+($J$6*SQRT($G$7)*_xlfn.NORM.S.INV(RAND())))</f>
        <v>3.7565442203108872</v>
      </c>
      <c r="AW71">
        <f t="shared" ref="AW71:AW130" ca="1" si="77">AW70*EXP(($G$6-0.5*$J$6^2)*$G$7+($J$6*SQRT($G$7)*_xlfn.NORM.S.INV(RAND())))</f>
        <v>2.6762640987130477</v>
      </c>
      <c r="AX71">
        <f t="shared" ref="AX71:AX130" ca="1" si="78">AX70*EXP(($G$6-0.5*$J$6^2)*$G$7+($J$6*SQRT($G$7)*_xlfn.NORM.S.INV(RAND())))</f>
        <v>2.9022221108933057</v>
      </c>
      <c r="AY71">
        <f t="shared" ref="AY71:AY130" ca="1" si="79">AY70*EXP(($G$6-0.5*$J$6^2)*$G$7+($J$6*SQRT($G$7)*_xlfn.NORM.S.INV(RAND())))</f>
        <v>2.6894394041987604</v>
      </c>
      <c r="AZ71">
        <f t="shared" ref="AZ71:AZ130" ca="1" si="80">AZ70*EXP(($G$6-0.5*$J$6^2)*$G$7+($J$6*SQRT($G$7)*_xlfn.NORM.S.INV(RAND())))</f>
        <v>3.625655851855548</v>
      </c>
    </row>
    <row r="72" spans="2:52" x14ac:dyDescent="0.35">
      <c r="B72" s="3">
        <v>45791</v>
      </c>
      <c r="C72" s="4">
        <v>373.95001220703102</v>
      </c>
      <c r="D72">
        <f t="shared" si="42"/>
        <v>-2.8731532558630538E-2</v>
      </c>
      <c r="L72" t="s">
        <v>167</v>
      </c>
      <c r="M72">
        <f t="shared" ref="M72:M130" ca="1" si="81">M71*EXP(($G$6-0.5*$J$6^2)*$G$7+($J$6*SQRT($G$7)*_xlfn.NORM.S.INV(RAND())))</f>
        <v>2.7473796434982103</v>
      </c>
      <c r="N72">
        <f t="shared" ref="N72:N130" ca="1" si="82">N71*EXP(($G$6-0.5*$J$6^2)*$G$7+($J$6*SQRT($G$7)*_xlfn.NORM.S.INV(RAND())))</f>
        <v>3.4296468067006334</v>
      </c>
      <c r="O72">
        <f t="shared" ca="1" si="43"/>
        <v>3.2212828491804615</v>
      </c>
      <c r="P72">
        <f t="shared" ca="1" si="44"/>
        <v>2.9930424460924567</v>
      </c>
      <c r="Q72">
        <f t="shared" ca="1" si="45"/>
        <v>2.8545419302258614</v>
      </c>
      <c r="R72">
        <f t="shared" ca="1" si="46"/>
        <v>3.300296860510525</v>
      </c>
      <c r="S72">
        <f t="shared" ca="1" si="47"/>
        <v>1.999410204780941</v>
      </c>
      <c r="T72">
        <f t="shared" ca="1" si="48"/>
        <v>3.2438222611741523</v>
      </c>
      <c r="U72">
        <f t="shared" ca="1" si="49"/>
        <v>4.115009673696485</v>
      </c>
      <c r="V72">
        <f t="shared" ca="1" si="50"/>
        <v>2.7291802284799243</v>
      </c>
      <c r="W72">
        <f t="shared" ca="1" si="51"/>
        <v>2.7398906455163314</v>
      </c>
      <c r="X72">
        <f t="shared" ca="1" si="52"/>
        <v>2.4092894338258466</v>
      </c>
      <c r="Y72">
        <f t="shared" ca="1" si="53"/>
        <v>2.9755494483206255</v>
      </c>
      <c r="Z72">
        <f t="shared" ca="1" si="54"/>
        <v>3.1762321221080327</v>
      </c>
      <c r="AA72">
        <f t="shared" ca="1" si="55"/>
        <v>2.789940674829638</v>
      </c>
      <c r="AB72">
        <f t="shared" ca="1" si="56"/>
        <v>2.9942840574164937</v>
      </c>
      <c r="AC72">
        <f t="shared" ca="1" si="57"/>
        <v>2.6786299739515878</v>
      </c>
      <c r="AD72">
        <f t="shared" ca="1" si="58"/>
        <v>2.0888851128895589</v>
      </c>
      <c r="AE72">
        <f t="shared" ca="1" si="59"/>
        <v>2.0584798397086868</v>
      </c>
      <c r="AF72">
        <f t="shared" ca="1" si="60"/>
        <v>2.9594060326361733</v>
      </c>
      <c r="AG72">
        <f t="shared" ca="1" si="61"/>
        <v>3.2423969584482011</v>
      </c>
      <c r="AH72">
        <f t="shared" ca="1" si="62"/>
        <v>2.6248387550406993</v>
      </c>
      <c r="AI72">
        <f t="shared" ca="1" si="63"/>
        <v>4.3269498035465803</v>
      </c>
      <c r="AJ72">
        <f t="shared" ca="1" si="64"/>
        <v>3.3070480280182668</v>
      </c>
      <c r="AK72">
        <f t="shared" ca="1" si="65"/>
        <v>2.7181857735206028</v>
      </c>
      <c r="AL72">
        <f t="shared" ca="1" si="66"/>
        <v>4.0521451988576427</v>
      </c>
      <c r="AM72">
        <f t="shared" ca="1" si="67"/>
        <v>3.3742664435721608</v>
      </c>
      <c r="AN72">
        <f t="shared" ca="1" si="68"/>
        <v>3.3626043156759589</v>
      </c>
      <c r="AO72">
        <f t="shared" ca="1" si="69"/>
        <v>2.5420456969264786</v>
      </c>
      <c r="AP72">
        <f t="shared" ca="1" si="70"/>
        <v>3.496815510650523</v>
      </c>
      <c r="AQ72">
        <f t="shared" ca="1" si="71"/>
        <v>2.9677501137800326</v>
      </c>
      <c r="AR72">
        <f t="shared" ca="1" si="72"/>
        <v>2.3708960761561175</v>
      </c>
      <c r="AS72">
        <f t="shared" ca="1" si="73"/>
        <v>4.3806110460788776</v>
      </c>
      <c r="AT72">
        <f t="shared" ca="1" si="74"/>
        <v>3.5173814804742833</v>
      </c>
      <c r="AU72">
        <f t="shared" ca="1" si="75"/>
        <v>3.0496542865339045</v>
      </c>
      <c r="AV72">
        <f t="shared" ca="1" si="76"/>
        <v>3.7038310966230439</v>
      </c>
      <c r="AW72">
        <f t="shared" ca="1" si="77"/>
        <v>2.6409460669989042</v>
      </c>
      <c r="AX72">
        <f t="shared" ca="1" si="78"/>
        <v>2.8448513378089446</v>
      </c>
      <c r="AY72">
        <f t="shared" ca="1" si="79"/>
        <v>2.6910589478827847</v>
      </c>
      <c r="AZ72">
        <f t="shared" ca="1" si="80"/>
        <v>3.5567512046988639</v>
      </c>
    </row>
    <row r="73" spans="2:52" x14ac:dyDescent="0.35">
      <c r="B73" s="3">
        <v>45792</v>
      </c>
      <c r="C73" s="4">
        <v>384.95001220703102</v>
      </c>
      <c r="D73">
        <f t="shared" si="42"/>
        <v>2.8991356153589887E-2</v>
      </c>
      <c r="L73" t="s">
        <v>168</v>
      </c>
      <c r="M73">
        <f t="shared" ca="1" si="81"/>
        <v>2.7774418417366395</v>
      </c>
      <c r="N73">
        <f t="shared" ca="1" si="82"/>
        <v>3.4460163348574899</v>
      </c>
      <c r="O73">
        <f t="shared" ca="1" si="43"/>
        <v>3.1155032617224641</v>
      </c>
      <c r="P73">
        <f t="shared" ca="1" si="44"/>
        <v>2.9875537625547079</v>
      </c>
      <c r="Q73">
        <f t="shared" ca="1" si="45"/>
        <v>2.8388261829668644</v>
      </c>
      <c r="R73">
        <f t="shared" ca="1" si="46"/>
        <v>3.3993968800510275</v>
      </c>
      <c r="S73">
        <f t="shared" ca="1" si="47"/>
        <v>2.0207838395389586</v>
      </c>
      <c r="T73">
        <f t="shared" ca="1" si="48"/>
        <v>3.1331524054614346</v>
      </c>
      <c r="U73">
        <f t="shared" ca="1" si="49"/>
        <v>4.1211314742072576</v>
      </c>
      <c r="V73">
        <f t="shared" ca="1" si="50"/>
        <v>2.7053303468397836</v>
      </c>
      <c r="W73">
        <f t="shared" ca="1" si="51"/>
        <v>2.6473698412223143</v>
      </c>
      <c r="X73">
        <f t="shared" ca="1" si="52"/>
        <v>2.2892339975263774</v>
      </c>
      <c r="Y73">
        <f t="shared" ca="1" si="53"/>
        <v>2.909522282819113</v>
      </c>
      <c r="Z73">
        <f t="shared" ca="1" si="54"/>
        <v>3.1180701834804969</v>
      </c>
      <c r="AA73">
        <f t="shared" ca="1" si="55"/>
        <v>2.902898532061327</v>
      </c>
      <c r="AB73">
        <f t="shared" ca="1" si="56"/>
        <v>3.0347276009048971</v>
      </c>
      <c r="AC73">
        <f t="shared" ca="1" si="57"/>
        <v>2.5480414906703426</v>
      </c>
      <c r="AD73">
        <f t="shared" ca="1" si="58"/>
        <v>2.0396063344545978</v>
      </c>
      <c r="AE73">
        <f t="shared" ca="1" si="59"/>
        <v>2.1189413400054478</v>
      </c>
      <c r="AF73">
        <f t="shared" ca="1" si="60"/>
        <v>2.9988526966403382</v>
      </c>
      <c r="AG73">
        <f t="shared" ca="1" si="61"/>
        <v>3.2999320477296883</v>
      </c>
      <c r="AH73">
        <f t="shared" ca="1" si="62"/>
        <v>2.5881072623389931</v>
      </c>
      <c r="AI73">
        <f t="shared" ca="1" si="63"/>
        <v>4.3364423560796874</v>
      </c>
      <c r="AJ73">
        <f t="shared" ca="1" si="64"/>
        <v>3.4475114962636528</v>
      </c>
      <c r="AK73">
        <f t="shared" ca="1" si="65"/>
        <v>2.7426540896069156</v>
      </c>
      <c r="AL73">
        <f t="shared" ca="1" si="66"/>
        <v>4.2189809318970708</v>
      </c>
      <c r="AM73">
        <f t="shared" ca="1" si="67"/>
        <v>3.3750567830423059</v>
      </c>
      <c r="AN73">
        <f t="shared" ca="1" si="68"/>
        <v>3.5202350515569591</v>
      </c>
      <c r="AO73">
        <f t="shared" ca="1" si="69"/>
        <v>2.5390009546195627</v>
      </c>
      <c r="AP73">
        <f t="shared" ca="1" si="70"/>
        <v>3.5352813568377726</v>
      </c>
      <c r="AQ73">
        <f t="shared" ca="1" si="71"/>
        <v>3.0585850499083844</v>
      </c>
      <c r="AR73">
        <f t="shared" ca="1" si="72"/>
        <v>2.2719363872364653</v>
      </c>
      <c r="AS73">
        <f t="shared" ca="1" si="73"/>
        <v>4.5376585938641441</v>
      </c>
      <c r="AT73">
        <f t="shared" ca="1" si="74"/>
        <v>3.5444279052525651</v>
      </c>
      <c r="AU73">
        <f t="shared" ca="1" si="75"/>
        <v>3.2385911126060112</v>
      </c>
      <c r="AV73">
        <f t="shared" ca="1" si="76"/>
        <v>3.7382105998033124</v>
      </c>
      <c r="AW73">
        <f t="shared" ca="1" si="77"/>
        <v>2.6002474555989359</v>
      </c>
      <c r="AX73">
        <f t="shared" ca="1" si="78"/>
        <v>2.8302059221831852</v>
      </c>
      <c r="AY73">
        <f t="shared" ca="1" si="79"/>
        <v>2.6146568355412816</v>
      </c>
      <c r="AZ73">
        <f t="shared" ca="1" si="80"/>
        <v>3.6772545542205544</v>
      </c>
    </row>
    <row r="74" spans="2:52" x14ac:dyDescent="0.35">
      <c r="B74" s="3">
        <v>45793</v>
      </c>
      <c r="C74" s="4">
        <v>376.25</v>
      </c>
      <c r="D74">
        <f t="shared" si="42"/>
        <v>-2.2859671371664954E-2</v>
      </c>
      <c r="L74" t="s">
        <v>169</v>
      </c>
      <c r="M74">
        <f t="shared" ca="1" si="81"/>
        <v>2.7314377976014095</v>
      </c>
      <c r="N74">
        <f t="shared" ca="1" si="82"/>
        <v>3.5367289249126599</v>
      </c>
      <c r="O74">
        <f t="shared" ca="1" si="43"/>
        <v>3.2669053994970323</v>
      </c>
      <c r="P74">
        <f t="shared" ca="1" si="44"/>
        <v>3.061785005667391</v>
      </c>
      <c r="Q74">
        <f t="shared" ca="1" si="45"/>
        <v>2.7652155896697601</v>
      </c>
      <c r="R74">
        <f t="shared" ca="1" si="46"/>
        <v>3.4200290818403949</v>
      </c>
      <c r="S74">
        <f t="shared" ca="1" si="47"/>
        <v>1.9907057903250311</v>
      </c>
      <c r="T74">
        <f t="shared" ca="1" si="48"/>
        <v>3.1710318128449688</v>
      </c>
      <c r="U74">
        <f t="shared" ca="1" si="49"/>
        <v>4.0835180119547987</v>
      </c>
      <c r="V74">
        <f t="shared" ca="1" si="50"/>
        <v>2.8496173493698556</v>
      </c>
      <c r="W74">
        <f t="shared" ca="1" si="51"/>
        <v>2.6199275185398205</v>
      </c>
      <c r="X74">
        <f t="shared" ca="1" si="52"/>
        <v>2.3574053773212089</v>
      </c>
      <c r="Y74">
        <f t="shared" ca="1" si="53"/>
        <v>2.9534111851399483</v>
      </c>
      <c r="Z74">
        <f t="shared" ca="1" si="54"/>
        <v>3.2113441677971877</v>
      </c>
      <c r="AA74">
        <f t="shared" ca="1" si="55"/>
        <v>2.9294863244073635</v>
      </c>
      <c r="AB74">
        <f t="shared" ca="1" si="56"/>
        <v>3.0167573571597814</v>
      </c>
      <c r="AC74">
        <f t="shared" ca="1" si="57"/>
        <v>2.495544677281651</v>
      </c>
      <c r="AD74">
        <f t="shared" ca="1" si="58"/>
        <v>2.0455138167337159</v>
      </c>
      <c r="AE74">
        <f t="shared" ca="1" si="59"/>
        <v>2.1158791418294371</v>
      </c>
      <c r="AF74">
        <f t="shared" ca="1" si="60"/>
        <v>2.9551923822631849</v>
      </c>
      <c r="AG74">
        <f t="shared" ca="1" si="61"/>
        <v>3.2891215356217485</v>
      </c>
      <c r="AH74">
        <f t="shared" ca="1" si="62"/>
        <v>2.711134316432442</v>
      </c>
      <c r="AI74">
        <f t="shared" ca="1" si="63"/>
        <v>4.3048666776224831</v>
      </c>
      <c r="AJ74">
        <f t="shared" ca="1" si="64"/>
        <v>3.353320631528331</v>
      </c>
      <c r="AK74">
        <f t="shared" ca="1" si="65"/>
        <v>2.7639863615810847</v>
      </c>
      <c r="AL74">
        <f t="shared" ca="1" si="66"/>
        <v>4.2389156835785915</v>
      </c>
      <c r="AM74">
        <f t="shared" ca="1" si="67"/>
        <v>3.3409689083479566</v>
      </c>
      <c r="AN74">
        <f t="shared" ca="1" si="68"/>
        <v>3.3796333475607097</v>
      </c>
      <c r="AO74">
        <f t="shared" ca="1" si="69"/>
        <v>2.4889955996490629</v>
      </c>
      <c r="AP74">
        <f t="shared" ca="1" si="70"/>
        <v>3.3521934852613064</v>
      </c>
      <c r="AQ74">
        <f t="shared" ca="1" si="71"/>
        <v>3.1777362034401873</v>
      </c>
      <c r="AR74">
        <f t="shared" ca="1" si="72"/>
        <v>2.2445243089724127</v>
      </c>
      <c r="AS74">
        <f t="shared" ca="1" si="73"/>
        <v>4.3715440098596332</v>
      </c>
      <c r="AT74">
        <f t="shared" ca="1" si="74"/>
        <v>3.6364843903087793</v>
      </c>
      <c r="AU74">
        <f t="shared" ca="1" si="75"/>
        <v>3.2662438340360591</v>
      </c>
      <c r="AV74">
        <f t="shared" ca="1" si="76"/>
        <v>3.8096621957725891</v>
      </c>
      <c r="AW74">
        <f t="shared" ca="1" si="77"/>
        <v>2.7803257078291335</v>
      </c>
      <c r="AX74">
        <f t="shared" ca="1" si="78"/>
        <v>2.9376675204264746</v>
      </c>
      <c r="AY74">
        <f t="shared" ca="1" si="79"/>
        <v>2.5641738545473425</v>
      </c>
      <c r="AZ74">
        <f t="shared" ca="1" si="80"/>
        <v>3.7765505191348612</v>
      </c>
    </row>
    <row r="75" spans="2:52" x14ac:dyDescent="0.35">
      <c r="B75" s="3">
        <v>45796</v>
      </c>
      <c r="C75" s="4">
        <v>376.14999389648398</v>
      </c>
      <c r="D75">
        <f t="shared" si="42"/>
        <v>-2.6583228313721568E-4</v>
      </c>
      <c r="L75" t="s">
        <v>170</v>
      </c>
      <c r="M75">
        <f t="shared" ca="1" si="81"/>
        <v>2.8324059590221875</v>
      </c>
      <c r="N75">
        <f t="shared" ca="1" si="82"/>
        <v>3.6162440783414858</v>
      </c>
      <c r="O75">
        <f t="shared" ca="1" si="43"/>
        <v>3.3696401497197082</v>
      </c>
      <c r="P75">
        <f t="shared" ca="1" si="44"/>
        <v>3.1613570598445984</v>
      </c>
      <c r="Q75">
        <f t="shared" ca="1" si="45"/>
        <v>2.7391210110765716</v>
      </c>
      <c r="R75">
        <f t="shared" ca="1" si="46"/>
        <v>3.3459331076441967</v>
      </c>
      <c r="S75">
        <f t="shared" ca="1" si="47"/>
        <v>1.9470901196161126</v>
      </c>
      <c r="T75">
        <f t="shared" ca="1" si="48"/>
        <v>3.2886698281911286</v>
      </c>
      <c r="U75">
        <f t="shared" ca="1" si="49"/>
        <v>4.0755882944036603</v>
      </c>
      <c r="V75">
        <f t="shared" ca="1" si="50"/>
        <v>2.9045942784889713</v>
      </c>
      <c r="W75">
        <f t="shared" ca="1" si="51"/>
        <v>2.6045971805691162</v>
      </c>
      <c r="X75">
        <f t="shared" ca="1" si="52"/>
        <v>2.3730987510449526</v>
      </c>
      <c r="Y75">
        <f t="shared" ca="1" si="53"/>
        <v>2.9606774009440824</v>
      </c>
      <c r="Z75">
        <f t="shared" ca="1" si="54"/>
        <v>3.2749053773179759</v>
      </c>
      <c r="AA75">
        <f t="shared" ca="1" si="55"/>
        <v>2.9917250446425161</v>
      </c>
      <c r="AB75">
        <f t="shared" ca="1" si="56"/>
        <v>3.1042482075866631</v>
      </c>
      <c r="AC75">
        <f t="shared" ca="1" si="57"/>
        <v>2.5189478407669261</v>
      </c>
      <c r="AD75">
        <f t="shared" ca="1" si="58"/>
        <v>2.0260984148334273</v>
      </c>
      <c r="AE75">
        <f t="shared" ca="1" si="59"/>
        <v>2.0983983171007914</v>
      </c>
      <c r="AF75">
        <f t="shared" ca="1" si="60"/>
        <v>2.8971435618447203</v>
      </c>
      <c r="AG75">
        <f t="shared" ca="1" si="61"/>
        <v>3.274907407731356</v>
      </c>
      <c r="AH75">
        <f t="shared" ca="1" si="62"/>
        <v>2.8072756043170268</v>
      </c>
      <c r="AI75">
        <f t="shared" ca="1" si="63"/>
        <v>4.5201076652732359</v>
      </c>
      <c r="AJ75">
        <f t="shared" ca="1" si="64"/>
        <v>3.311037869636591</v>
      </c>
      <c r="AK75">
        <f t="shared" ca="1" si="65"/>
        <v>2.7488106902127845</v>
      </c>
      <c r="AL75">
        <f t="shared" ca="1" si="66"/>
        <v>4.2346911271123666</v>
      </c>
      <c r="AM75">
        <f t="shared" ca="1" si="67"/>
        <v>3.383596659725876</v>
      </c>
      <c r="AN75">
        <f t="shared" ca="1" si="68"/>
        <v>3.4316246700684774</v>
      </c>
      <c r="AO75">
        <f t="shared" ca="1" si="69"/>
        <v>2.5252681004664326</v>
      </c>
      <c r="AP75">
        <f t="shared" ca="1" si="70"/>
        <v>3.3132659464271548</v>
      </c>
      <c r="AQ75">
        <f t="shared" ca="1" si="71"/>
        <v>3.1542085257584591</v>
      </c>
      <c r="AR75">
        <f t="shared" ca="1" si="72"/>
        <v>2.2646899766157174</v>
      </c>
      <c r="AS75">
        <f t="shared" ca="1" si="73"/>
        <v>4.4578519523750719</v>
      </c>
      <c r="AT75">
        <f t="shared" ca="1" si="74"/>
        <v>3.5573854989789511</v>
      </c>
      <c r="AU75">
        <f t="shared" ca="1" si="75"/>
        <v>3.4567927696672904</v>
      </c>
      <c r="AV75">
        <f t="shared" ca="1" si="76"/>
        <v>3.7314403386954833</v>
      </c>
      <c r="AW75">
        <f t="shared" ca="1" si="77"/>
        <v>2.8158390010107177</v>
      </c>
      <c r="AX75">
        <f t="shared" ca="1" si="78"/>
        <v>2.9418553646814338</v>
      </c>
      <c r="AY75">
        <f t="shared" ca="1" si="79"/>
        <v>2.5798721621635328</v>
      </c>
      <c r="AZ75">
        <f t="shared" ca="1" si="80"/>
        <v>3.8080183161708057</v>
      </c>
    </row>
    <row r="76" spans="2:52" x14ac:dyDescent="0.35">
      <c r="B76" s="3">
        <v>45797</v>
      </c>
      <c r="C76" s="4">
        <v>369.29998779296801</v>
      </c>
      <c r="D76">
        <f t="shared" si="42"/>
        <v>-1.837869497594528E-2</v>
      </c>
      <c r="L76" t="s">
        <v>171</v>
      </c>
      <c r="M76">
        <f t="shared" ca="1" si="81"/>
        <v>2.7713311588737271</v>
      </c>
      <c r="N76">
        <f t="shared" ca="1" si="82"/>
        <v>3.6194462860199761</v>
      </c>
      <c r="O76">
        <f t="shared" ca="1" si="43"/>
        <v>3.4403543860764234</v>
      </c>
      <c r="P76">
        <f t="shared" ca="1" si="44"/>
        <v>3.064132387398057</v>
      </c>
      <c r="Q76">
        <f t="shared" ca="1" si="45"/>
        <v>2.631230761258248</v>
      </c>
      <c r="R76">
        <f t="shared" ca="1" si="46"/>
        <v>3.4081815698513469</v>
      </c>
      <c r="S76">
        <f t="shared" ca="1" si="47"/>
        <v>1.9325869841926764</v>
      </c>
      <c r="T76">
        <f t="shared" ca="1" si="48"/>
        <v>3.317381462710375</v>
      </c>
      <c r="U76">
        <f t="shared" ca="1" si="49"/>
        <v>4.1747577057670915</v>
      </c>
      <c r="V76">
        <f t="shared" ca="1" si="50"/>
        <v>2.9712981995829586</v>
      </c>
      <c r="W76">
        <f t="shared" ca="1" si="51"/>
        <v>2.5857111852766486</v>
      </c>
      <c r="X76">
        <f t="shared" ca="1" si="52"/>
        <v>2.326635876127864</v>
      </c>
      <c r="Y76">
        <f t="shared" ca="1" si="53"/>
        <v>3.0545306648880417</v>
      </c>
      <c r="Z76">
        <f t="shared" ca="1" si="54"/>
        <v>3.2807190644319699</v>
      </c>
      <c r="AA76">
        <f t="shared" ca="1" si="55"/>
        <v>2.9984362300096632</v>
      </c>
      <c r="AB76">
        <f t="shared" ca="1" si="56"/>
        <v>2.9635196774772727</v>
      </c>
      <c r="AC76">
        <f t="shared" ca="1" si="57"/>
        <v>2.4915996452868554</v>
      </c>
      <c r="AD76">
        <f t="shared" ca="1" si="58"/>
        <v>2.0790431088131149</v>
      </c>
      <c r="AE76">
        <f t="shared" ca="1" si="59"/>
        <v>2.1504523649028782</v>
      </c>
      <c r="AF76">
        <f t="shared" ca="1" si="60"/>
        <v>2.9384324575619698</v>
      </c>
      <c r="AG76">
        <f t="shared" ca="1" si="61"/>
        <v>3.2354433346747249</v>
      </c>
      <c r="AH76">
        <f t="shared" ca="1" si="62"/>
        <v>2.8950889111172167</v>
      </c>
      <c r="AI76">
        <f t="shared" ca="1" si="63"/>
        <v>4.4780821283593601</v>
      </c>
      <c r="AJ76">
        <f t="shared" ca="1" si="64"/>
        <v>3.3899101475650779</v>
      </c>
      <c r="AK76">
        <f t="shared" ca="1" si="65"/>
        <v>2.7298933562167398</v>
      </c>
      <c r="AL76">
        <f t="shared" ca="1" si="66"/>
        <v>4.142588968380772</v>
      </c>
      <c r="AM76">
        <f t="shared" ca="1" si="67"/>
        <v>3.3779543333942659</v>
      </c>
      <c r="AN76">
        <f t="shared" ca="1" si="68"/>
        <v>3.4861668674001356</v>
      </c>
      <c r="AO76">
        <f t="shared" ca="1" si="69"/>
        <v>2.5713173133931373</v>
      </c>
      <c r="AP76">
        <f t="shared" ca="1" si="70"/>
        <v>3.285080307901699</v>
      </c>
      <c r="AQ76">
        <f t="shared" ca="1" si="71"/>
        <v>3.1232100732305224</v>
      </c>
      <c r="AR76">
        <f t="shared" ca="1" si="72"/>
        <v>2.2625728981039583</v>
      </c>
      <c r="AS76">
        <f t="shared" ca="1" si="73"/>
        <v>4.5900760552425686</v>
      </c>
      <c r="AT76">
        <f t="shared" ca="1" si="74"/>
        <v>3.406283331776685</v>
      </c>
      <c r="AU76">
        <f t="shared" ca="1" si="75"/>
        <v>3.5920412971926359</v>
      </c>
      <c r="AV76">
        <f t="shared" ca="1" si="76"/>
        <v>3.6546771582918716</v>
      </c>
      <c r="AW76">
        <f t="shared" ca="1" si="77"/>
        <v>2.7547287253086123</v>
      </c>
      <c r="AX76">
        <f t="shared" ca="1" si="78"/>
        <v>2.9724615687752229</v>
      </c>
      <c r="AY76">
        <f t="shared" ca="1" si="79"/>
        <v>2.5206906358061114</v>
      </c>
      <c r="AZ76">
        <f t="shared" ca="1" si="80"/>
        <v>3.8510285956710235</v>
      </c>
    </row>
    <row r="77" spans="2:52" x14ac:dyDescent="0.35">
      <c r="B77" s="3">
        <v>45798</v>
      </c>
      <c r="C77" s="4">
        <v>370.29998779296801</v>
      </c>
      <c r="D77">
        <f t="shared" si="42"/>
        <v>2.7041661503136275E-3</v>
      </c>
      <c r="L77" t="s">
        <v>172</v>
      </c>
      <c r="M77">
        <f t="shared" ca="1" si="81"/>
        <v>2.7272819885509492</v>
      </c>
      <c r="N77">
        <f t="shared" ca="1" si="82"/>
        <v>3.5353001232926489</v>
      </c>
      <c r="O77">
        <f t="shared" ca="1" si="43"/>
        <v>3.5715747273209635</v>
      </c>
      <c r="P77">
        <f t="shared" ca="1" si="44"/>
        <v>3.1983380601525462</v>
      </c>
      <c r="Q77">
        <f t="shared" ca="1" si="45"/>
        <v>2.5638072320625711</v>
      </c>
      <c r="R77">
        <f t="shared" ca="1" si="46"/>
        <v>3.5696813958598197</v>
      </c>
      <c r="S77">
        <f t="shared" ca="1" si="47"/>
        <v>1.9267606817211185</v>
      </c>
      <c r="T77">
        <f t="shared" ca="1" si="48"/>
        <v>3.3018626400694342</v>
      </c>
      <c r="U77">
        <f t="shared" ca="1" si="49"/>
        <v>4.213117790015982</v>
      </c>
      <c r="V77">
        <f t="shared" ca="1" si="50"/>
        <v>3.0232277492899944</v>
      </c>
      <c r="W77">
        <f t="shared" ca="1" si="51"/>
        <v>2.5219801305279446</v>
      </c>
      <c r="X77">
        <f t="shared" ca="1" si="52"/>
        <v>2.2671307066201871</v>
      </c>
      <c r="Y77">
        <f t="shared" ca="1" si="53"/>
        <v>2.8995993944846621</v>
      </c>
      <c r="Z77">
        <f t="shared" ca="1" si="54"/>
        <v>3.2816673581932174</v>
      </c>
      <c r="AA77">
        <f t="shared" ca="1" si="55"/>
        <v>3.0817824983017985</v>
      </c>
      <c r="AB77">
        <f t="shared" ca="1" si="56"/>
        <v>2.9643636186955695</v>
      </c>
      <c r="AC77">
        <f t="shared" ca="1" si="57"/>
        <v>2.4202471522419842</v>
      </c>
      <c r="AD77">
        <f t="shared" ca="1" si="58"/>
        <v>2.1396992320822332</v>
      </c>
      <c r="AE77">
        <f t="shared" ca="1" si="59"/>
        <v>2.1411279766002105</v>
      </c>
      <c r="AF77">
        <f t="shared" ca="1" si="60"/>
        <v>2.9396002453394598</v>
      </c>
      <c r="AG77">
        <f t="shared" ca="1" si="61"/>
        <v>3.30447229776395</v>
      </c>
      <c r="AH77">
        <f t="shared" ca="1" si="62"/>
        <v>2.9105249722689588</v>
      </c>
      <c r="AI77">
        <f t="shared" ca="1" si="63"/>
        <v>4.7012490861958627</v>
      </c>
      <c r="AJ77">
        <f t="shared" ca="1" si="64"/>
        <v>3.4217050657158135</v>
      </c>
      <c r="AK77">
        <f t="shared" ca="1" si="65"/>
        <v>2.7808313591683351</v>
      </c>
      <c r="AL77">
        <f t="shared" ca="1" si="66"/>
        <v>3.9555367184087316</v>
      </c>
      <c r="AM77">
        <f t="shared" ca="1" si="67"/>
        <v>3.4141257576437081</v>
      </c>
      <c r="AN77">
        <f t="shared" ca="1" si="68"/>
        <v>3.4918320067862991</v>
      </c>
      <c r="AO77">
        <f t="shared" ca="1" si="69"/>
        <v>2.6507474730058052</v>
      </c>
      <c r="AP77">
        <f t="shared" ca="1" si="70"/>
        <v>3.2487133150580476</v>
      </c>
      <c r="AQ77">
        <f t="shared" ca="1" si="71"/>
        <v>3.1355789532514202</v>
      </c>
      <c r="AR77">
        <f t="shared" ca="1" si="72"/>
        <v>2.1383043440836236</v>
      </c>
      <c r="AS77">
        <f t="shared" ca="1" si="73"/>
        <v>4.5692049282562897</v>
      </c>
      <c r="AT77">
        <f t="shared" ca="1" si="74"/>
        <v>3.33281079423474</v>
      </c>
      <c r="AU77">
        <f t="shared" ca="1" si="75"/>
        <v>3.5983828196738643</v>
      </c>
      <c r="AV77">
        <f t="shared" ca="1" si="76"/>
        <v>3.7099174029462989</v>
      </c>
      <c r="AW77">
        <f t="shared" ca="1" si="77"/>
        <v>2.7418126156482741</v>
      </c>
      <c r="AX77">
        <f t="shared" ca="1" si="78"/>
        <v>3.0101770672857482</v>
      </c>
      <c r="AY77">
        <f t="shared" ca="1" si="79"/>
        <v>2.563956098699951</v>
      </c>
      <c r="AZ77">
        <f t="shared" ca="1" si="80"/>
        <v>3.8161441265299993</v>
      </c>
    </row>
    <row r="78" spans="2:52" x14ac:dyDescent="0.35">
      <c r="B78" s="3">
        <v>45799</v>
      </c>
      <c r="C78" s="4">
        <v>360.75</v>
      </c>
      <c r="D78">
        <f t="shared" si="42"/>
        <v>-2.6128257300336452E-2</v>
      </c>
      <c r="L78" t="s">
        <v>173</v>
      </c>
      <c r="M78">
        <f t="shared" ca="1" si="81"/>
        <v>2.6729048212354005</v>
      </c>
      <c r="N78">
        <f t="shared" ca="1" si="82"/>
        <v>3.6374567529516733</v>
      </c>
      <c r="O78">
        <f t="shared" ca="1" si="43"/>
        <v>3.4094882276925058</v>
      </c>
      <c r="P78">
        <f t="shared" ca="1" si="44"/>
        <v>3.178443653950159</v>
      </c>
      <c r="Q78">
        <f t="shared" ca="1" si="45"/>
        <v>2.554447575825852</v>
      </c>
      <c r="R78">
        <f t="shared" ca="1" si="46"/>
        <v>3.5678009862404467</v>
      </c>
      <c r="S78">
        <f t="shared" ca="1" si="47"/>
        <v>2.0136771020467847</v>
      </c>
      <c r="T78">
        <f t="shared" ca="1" si="48"/>
        <v>3.2632483686497307</v>
      </c>
      <c r="U78">
        <f t="shared" ca="1" si="49"/>
        <v>4.289058146300694</v>
      </c>
      <c r="V78">
        <f t="shared" ca="1" si="50"/>
        <v>3.0452860498699503</v>
      </c>
      <c r="W78">
        <f t="shared" ca="1" si="51"/>
        <v>2.4301377958572532</v>
      </c>
      <c r="X78">
        <f t="shared" ca="1" si="52"/>
        <v>2.2033998285056771</v>
      </c>
      <c r="Y78">
        <f t="shared" ca="1" si="53"/>
        <v>2.9359272780432808</v>
      </c>
      <c r="Z78">
        <f t="shared" ca="1" si="54"/>
        <v>3.4516059425228285</v>
      </c>
      <c r="AA78">
        <f t="shared" ca="1" si="55"/>
        <v>3.0866636476557043</v>
      </c>
      <c r="AB78">
        <f t="shared" ca="1" si="56"/>
        <v>3.0169235449677743</v>
      </c>
      <c r="AC78">
        <f t="shared" ca="1" si="57"/>
        <v>2.4003449490739674</v>
      </c>
      <c r="AD78">
        <f t="shared" ca="1" si="58"/>
        <v>2.2490170828854272</v>
      </c>
      <c r="AE78">
        <f t="shared" ca="1" si="59"/>
        <v>2.1892377460444727</v>
      </c>
      <c r="AF78">
        <f t="shared" ca="1" si="60"/>
        <v>2.8475723049259898</v>
      </c>
      <c r="AG78">
        <f t="shared" ca="1" si="61"/>
        <v>3.3723633591609707</v>
      </c>
      <c r="AH78">
        <f t="shared" ca="1" si="62"/>
        <v>2.9039001737791361</v>
      </c>
      <c r="AI78">
        <f t="shared" ca="1" si="63"/>
        <v>4.7557785535444888</v>
      </c>
      <c r="AJ78">
        <f t="shared" ca="1" si="64"/>
        <v>3.3313168237215791</v>
      </c>
      <c r="AK78">
        <f t="shared" ca="1" si="65"/>
        <v>2.7965162341540517</v>
      </c>
      <c r="AL78">
        <f t="shared" ca="1" si="66"/>
        <v>3.834247460001158</v>
      </c>
      <c r="AM78">
        <f t="shared" ca="1" si="67"/>
        <v>3.419751233527045</v>
      </c>
      <c r="AN78">
        <f t="shared" ca="1" si="68"/>
        <v>3.5368172327318375</v>
      </c>
      <c r="AO78">
        <f t="shared" ca="1" si="69"/>
        <v>2.6784498452866066</v>
      </c>
      <c r="AP78">
        <f t="shared" ca="1" si="70"/>
        <v>3.2113781560619463</v>
      </c>
      <c r="AQ78">
        <f t="shared" ca="1" si="71"/>
        <v>3.1691641067096215</v>
      </c>
      <c r="AR78">
        <f t="shared" ca="1" si="72"/>
        <v>2.0788589194817075</v>
      </c>
      <c r="AS78">
        <f t="shared" ca="1" si="73"/>
        <v>4.3784430311853511</v>
      </c>
      <c r="AT78">
        <f t="shared" ca="1" si="74"/>
        <v>3.2410151144295383</v>
      </c>
      <c r="AU78">
        <f t="shared" ca="1" si="75"/>
        <v>3.6546829085507628</v>
      </c>
      <c r="AV78">
        <f t="shared" ca="1" si="76"/>
        <v>3.6461623661440941</v>
      </c>
      <c r="AW78">
        <f t="shared" ca="1" si="77"/>
        <v>2.7258475154831037</v>
      </c>
      <c r="AX78">
        <f t="shared" ca="1" si="78"/>
        <v>3.0432435671803506</v>
      </c>
      <c r="AY78">
        <f t="shared" ca="1" si="79"/>
        <v>2.5784033030754108</v>
      </c>
      <c r="AZ78">
        <f t="shared" ca="1" si="80"/>
        <v>3.940622804022845</v>
      </c>
    </row>
    <row r="79" spans="2:52" x14ac:dyDescent="0.35">
      <c r="B79" s="3">
        <v>45800</v>
      </c>
      <c r="C79" s="4">
        <v>361</v>
      </c>
      <c r="D79">
        <f t="shared" si="42"/>
        <v>6.9276067890057459E-4</v>
      </c>
      <c r="L79" t="s">
        <v>174</v>
      </c>
      <c r="M79">
        <f t="shared" ca="1" si="81"/>
        <v>2.694373808724817</v>
      </c>
      <c r="N79">
        <f t="shared" ca="1" si="82"/>
        <v>3.5679583909964667</v>
      </c>
      <c r="O79">
        <f t="shared" ca="1" si="43"/>
        <v>3.3480803868062901</v>
      </c>
      <c r="P79">
        <f t="shared" ca="1" si="44"/>
        <v>3.2230495527432748</v>
      </c>
      <c r="Q79">
        <f t="shared" ca="1" si="45"/>
        <v>2.5671649519720181</v>
      </c>
      <c r="R79">
        <f t="shared" ca="1" si="46"/>
        <v>3.415169316174484</v>
      </c>
      <c r="S79">
        <f t="shared" ca="1" si="47"/>
        <v>2.0255431440445357</v>
      </c>
      <c r="T79">
        <f t="shared" ca="1" si="48"/>
        <v>3.3830878519428258</v>
      </c>
      <c r="U79">
        <f t="shared" ca="1" si="49"/>
        <v>4.2670839726349854</v>
      </c>
      <c r="V79">
        <f t="shared" ca="1" si="50"/>
        <v>3.189861666666566</v>
      </c>
      <c r="W79">
        <f t="shared" ca="1" si="51"/>
        <v>2.4208314687411616</v>
      </c>
      <c r="X79">
        <f t="shared" ca="1" si="52"/>
        <v>2.2364382473445956</v>
      </c>
      <c r="Y79">
        <f t="shared" ca="1" si="53"/>
        <v>2.9762689972734768</v>
      </c>
      <c r="Z79">
        <f t="shared" ca="1" si="54"/>
        <v>3.567117556717212</v>
      </c>
      <c r="AA79">
        <f t="shared" ca="1" si="55"/>
        <v>3.1186558849788963</v>
      </c>
      <c r="AB79">
        <f t="shared" ca="1" si="56"/>
        <v>2.9399357064230447</v>
      </c>
      <c r="AC79">
        <f t="shared" ca="1" si="57"/>
        <v>2.4310999756703753</v>
      </c>
      <c r="AD79">
        <f t="shared" ca="1" si="58"/>
        <v>2.2398214184728826</v>
      </c>
      <c r="AE79">
        <f t="shared" ca="1" si="59"/>
        <v>2.1897845162295662</v>
      </c>
      <c r="AF79">
        <f t="shared" ca="1" si="60"/>
        <v>2.7586188248175736</v>
      </c>
      <c r="AG79">
        <f t="shared" ca="1" si="61"/>
        <v>3.3946803022990446</v>
      </c>
      <c r="AH79">
        <f t="shared" ca="1" si="62"/>
        <v>2.9541090386368256</v>
      </c>
      <c r="AI79">
        <f t="shared" ca="1" si="63"/>
        <v>4.7208387695771314</v>
      </c>
      <c r="AJ79">
        <f t="shared" ca="1" si="64"/>
        <v>3.2409482222103851</v>
      </c>
      <c r="AK79">
        <f t="shared" ca="1" si="65"/>
        <v>2.7221883641695941</v>
      </c>
      <c r="AL79">
        <f t="shared" ca="1" si="66"/>
        <v>3.7927171813598699</v>
      </c>
      <c r="AM79">
        <f t="shared" ca="1" si="67"/>
        <v>3.5092365528793441</v>
      </c>
      <c r="AN79">
        <f t="shared" ca="1" si="68"/>
        <v>3.4735270213832914</v>
      </c>
      <c r="AO79">
        <f t="shared" ca="1" si="69"/>
        <v>2.6991220544594201</v>
      </c>
      <c r="AP79">
        <f t="shared" ca="1" si="70"/>
        <v>3.1664772536818799</v>
      </c>
      <c r="AQ79">
        <f t="shared" ca="1" si="71"/>
        <v>3.1977753317330833</v>
      </c>
      <c r="AR79">
        <f t="shared" ca="1" si="72"/>
        <v>2.1301480528748802</v>
      </c>
      <c r="AS79">
        <f t="shared" ca="1" si="73"/>
        <v>4.1738120017021227</v>
      </c>
      <c r="AT79">
        <f t="shared" ca="1" si="74"/>
        <v>3.1346401981943677</v>
      </c>
      <c r="AU79">
        <f t="shared" ca="1" si="75"/>
        <v>3.6920217806829303</v>
      </c>
      <c r="AV79">
        <f t="shared" ca="1" si="76"/>
        <v>3.6144276581829518</v>
      </c>
      <c r="AW79">
        <f t="shared" ca="1" si="77"/>
        <v>2.6845395947901736</v>
      </c>
      <c r="AX79">
        <f t="shared" ca="1" si="78"/>
        <v>3.0756089554931796</v>
      </c>
      <c r="AY79">
        <f t="shared" ca="1" si="79"/>
        <v>2.5318576139986173</v>
      </c>
      <c r="AZ79">
        <f t="shared" ca="1" si="80"/>
        <v>4.092330426072313</v>
      </c>
    </row>
    <row r="80" spans="2:52" x14ac:dyDescent="0.35">
      <c r="B80" s="3">
        <v>45804</v>
      </c>
      <c r="C80" s="4">
        <v>361.70001220703102</v>
      </c>
      <c r="D80">
        <f t="shared" si="42"/>
        <v>1.9372143742196826E-3</v>
      </c>
      <c r="L80" t="s">
        <v>175</v>
      </c>
      <c r="M80">
        <f t="shared" ca="1" si="81"/>
        <v>2.7283201557566041</v>
      </c>
      <c r="N80">
        <f t="shared" ca="1" si="82"/>
        <v>3.6019426306223141</v>
      </c>
      <c r="O80">
        <f t="shared" ca="1" si="43"/>
        <v>3.216904880156823</v>
      </c>
      <c r="P80">
        <f t="shared" ca="1" si="44"/>
        <v>3.3035379456145053</v>
      </c>
      <c r="Q80">
        <f t="shared" ca="1" si="45"/>
        <v>2.6405911260728492</v>
      </c>
      <c r="R80">
        <f t="shared" ca="1" si="46"/>
        <v>3.4892070780289317</v>
      </c>
      <c r="S80">
        <f t="shared" ca="1" si="47"/>
        <v>2.0145604116549189</v>
      </c>
      <c r="T80">
        <f t="shared" ca="1" si="48"/>
        <v>3.3691727211621454</v>
      </c>
      <c r="U80">
        <f t="shared" ca="1" si="49"/>
        <v>4.3770515066929931</v>
      </c>
      <c r="V80">
        <f t="shared" ca="1" si="50"/>
        <v>3.3286158294967092</v>
      </c>
      <c r="W80">
        <f t="shared" ca="1" si="51"/>
        <v>2.405475536196191</v>
      </c>
      <c r="X80">
        <f t="shared" ca="1" si="52"/>
        <v>2.2658867527632802</v>
      </c>
      <c r="Y80">
        <f t="shared" ca="1" si="53"/>
        <v>2.9028260065654967</v>
      </c>
      <c r="Z80">
        <f t="shared" ca="1" si="54"/>
        <v>3.6264457500434775</v>
      </c>
      <c r="AA80">
        <f t="shared" ca="1" si="55"/>
        <v>3.1011097326369703</v>
      </c>
      <c r="AB80">
        <f t="shared" ca="1" si="56"/>
        <v>2.8412643650503648</v>
      </c>
      <c r="AC80">
        <f t="shared" ca="1" si="57"/>
        <v>2.4641985346002704</v>
      </c>
      <c r="AD80">
        <f t="shared" ca="1" si="58"/>
        <v>2.182879520098127</v>
      </c>
      <c r="AE80">
        <f t="shared" ca="1" si="59"/>
        <v>2.1295863914256374</v>
      </c>
      <c r="AF80">
        <f t="shared" ca="1" si="60"/>
        <v>2.8784464347995575</v>
      </c>
      <c r="AG80">
        <f t="shared" ca="1" si="61"/>
        <v>3.3278706714295225</v>
      </c>
      <c r="AH80">
        <f t="shared" ca="1" si="62"/>
        <v>2.9625190699940314</v>
      </c>
      <c r="AI80">
        <f t="shared" ca="1" si="63"/>
        <v>4.7133772222665904</v>
      </c>
      <c r="AJ80">
        <f t="shared" ca="1" si="64"/>
        <v>3.3045640187536827</v>
      </c>
      <c r="AK80">
        <f t="shared" ca="1" si="65"/>
        <v>2.7251118105423329</v>
      </c>
      <c r="AL80">
        <f t="shared" ca="1" si="66"/>
        <v>3.765615661505362</v>
      </c>
      <c r="AM80">
        <f t="shared" ca="1" si="67"/>
        <v>3.5941644749228332</v>
      </c>
      <c r="AN80">
        <f t="shared" ca="1" si="68"/>
        <v>3.5582577145833381</v>
      </c>
      <c r="AO80">
        <f t="shared" ca="1" si="69"/>
        <v>2.7260357664800479</v>
      </c>
      <c r="AP80">
        <f t="shared" ca="1" si="70"/>
        <v>3.1168334146066785</v>
      </c>
      <c r="AQ80">
        <f t="shared" ca="1" si="71"/>
        <v>3.2102306912550644</v>
      </c>
      <c r="AR80">
        <f t="shared" ca="1" si="72"/>
        <v>2.086979732548802</v>
      </c>
      <c r="AS80">
        <f t="shared" ca="1" si="73"/>
        <v>4.1367065999976456</v>
      </c>
      <c r="AT80">
        <f t="shared" ca="1" si="74"/>
        <v>3.0847537760841908</v>
      </c>
      <c r="AU80">
        <f t="shared" ca="1" si="75"/>
        <v>3.6859527713147835</v>
      </c>
      <c r="AV80">
        <f t="shared" ca="1" si="76"/>
        <v>3.7509124823584123</v>
      </c>
      <c r="AW80">
        <f t="shared" ca="1" si="77"/>
        <v>2.7100350701748046</v>
      </c>
      <c r="AX80">
        <f t="shared" ca="1" si="78"/>
        <v>3.1714571404840703</v>
      </c>
      <c r="AY80">
        <f t="shared" ca="1" si="79"/>
        <v>2.4456249528954932</v>
      </c>
      <c r="AZ80">
        <f t="shared" ca="1" si="80"/>
        <v>4.1156796377077356</v>
      </c>
    </row>
    <row r="81" spans="2:52" x14ac:dyDescent="0.35">
      <c r="B81" s="3">
        <v>45805</v>
      </c>
      <c r="C81" s="4">
        <v>351.95001220703102</v>
      </c>
      <c r="D81">
        <f t="shared" si="42"/>
        <v>-2.7326017968968535E-2</v>
      </c>
      <c r="L81" t="s">
        <v>176</v>
      </c>
      <c r="M81">
        <f t="shared" ca="1" si="81"/>
        <v>2.8421996396508802</v>
      </c>
      <c r="N81">
        <f t="shared" ca="1" si="82"/>
        <v>3.5418940893783359</v>
      </c>
      <c r="O81">
        <f t="shared" ca="1" si="43"/>
        <v>3.371898543858872</v>
      </c>
      <c r="P81">
        <f t="shared" ca="1" si="44"/>
        <v>3.2414891154634962</v>
      </c>
      <c r="Q81">
        <f t="shared" ca="1" si="45"/>
        <v>2.5358950822454993</v>
      </c>
      <c r="R81">
        <f t="shared" ca="1" si="46"/>
        <v>3.4738793622637685</v>
      </c>
      <c r="S81">
        <f t="shared" ca="1" si="47"/>
        <v>2.0252351726504676</v>
      </c>
      <c r="T81">
        <f t="shared" ca="1" si="48"/>
        <v>3.5281267497592768</v>
      </c>
      <c r="U81">
        <f t="shared" ca="1" si="49"/>
        <v>4.3751396935136952</v>
      </c>
      <c r="V81">
        <f t="shared" ca="1" si="50"/>
        <v>3.2311631501453806</v>
      </c>
      <c r="W81">
        <f t="shared" ca="1" si="51"/>
        <v>2.5004457466612995</v>
      </c>
      <c r="X81">
        <f t="shared" ca="1" si="52"/>
        <v>2.274506263299275</v>
      </c>
      <c r="Y81">
        <f t="shared" ca="1" si="53"/>
        <v>2.9280638433874957</v>
      </c>
      <c r="Z81">
        <f t="shared" ca="1" si="54"/>
        <v>3.7083666782004894</v>
      </c>
      <c r="AA81">
        <f t="shared" ca="1" si="55"/>
        <v>3.0875485409843826</v>
      </c>
      <c r="AB81">
        <f t="shared" ca="1" si="56"/>
        <v>2.8660616409227457</v>
      </c>
      <c r="AC81">
        <f t="shared" ca="1" si="57"/>
        <v>2.4637193260173658</v>
      </c>
      <c r="AD81">
        <f t="shared" ca="1" si="58"/>
        <v>2.1747284616043645</v>
      </c>
      <c r="AE81">
        <f t="shared" ca="1" si="59"/>
        <v>2.0533754383015363</v>
      </c>
      <c r="AF81">
        <f t="shared" ca="1" si="60"/>
        <v>2.9040931976502393</v>
      </c>
      <c r="AG81">
        <f t="shared" ca="1" si="61"/>
        <v>3.2451876318720116</v>
      </c>
      <c r="AH81">
        <f t="shared" ca="1" si="62"/>
        <v>2.8670847818360925</v>
      </c>
      <c r="AI81">
        <f t="shared" ca="1" si="63"/>
        <v>4.8462224474953493</v>
      </c>
      <c r="AJ81">
        <f t="shared" ca="1" si="64"/>
        <v>3.2551275600736314</v>
      </c>
      <c r="AK81">
        <f t="shared" ca="1" si="65"/>
        <v>2.6665329410210652</v>
      </c>
      <c r="AL81">
        <f t="shared" ca="1" si="66"/>
        <v>3.7321031108434051</v>
      </c>
      <c r="AM81">
        <f t="shared" ca="1" si="67"/>
        <v>3.5980563236218308</v>
      </c>
      <c r="AN81">
        <f t="shared" ca="1" si="68"/>
        <v>3.4362122413353164</v>
      </c>
      <c r="AO81">
        <f t="shared" ca="1" si="69"/>
        <v>2.7099170093259808</v>
      </c>
      <c r="AP81">
        <f t="shared" ca="1" si="70"/>
        <v>3.1946047133471702</v>
      </c>
      <c r="AQ81">
        <f t="shared" ca="1" si="71"/>
        <v>3.183417744529883</v>
      </c>
      <c r="AR81">
        <f t="shared" ca="1" si="72"/>
        <v>2.1193809632367633</v>
      </c>
      <c r="AS81">
        <f t="shared" ca="1" si="73"/>
        <v>4.0587513907368633</v>
      </c>
      <c r="AT81">
        <f t="shared" ca="1" si="74"/>
        <v>3.3013933616725688</v>
      </c>
      <c r="AU81">
        <f t="shared" ca="1" si="75"/>
        <v>3.7001260024843421</v>
      </c>
      <c r="AV81">
        <f t="shared" ca="1" si="76"/>
        <v>3.7588679569760224</v>
      </c>
      <c r="AW81">
        <f t="shared" ca="1" si="77"/>
        <v>2.7996859293865213</v>
      </c>
      <c r="AX81">
        <f t="shared" ca="1" si="78"/>
        <v>3.180063125432989</v>
      </c>
      <c r="AY81">
        <f t="shared" ca="1" si="79"/>
        <v>2.4163591892799365</v>
      </c>
      <c r="AZ81">
        <f t="shared" ca="1" si="80"/>
        <v>4.1435750497831503</v>
      </c>
    </row>
    <row r="82" spans="2:52" x14ac:dyDescent="0.35">
      <c r="B82" s="3">
        <v>45806</v>
      </c>
      <c r="C82" s="4">
        <v>348.39999389648398</v>
      </c>
      <c r="D82">
        <f t="shared" si="42"/>
        <v>-1.0137927278487283E-2</v>
      </c>
      <c r="L82" t="s">
        <v>177</v>
      </c>
      <c r="M82">
        <f t="shared" ca="1" si="81"/>
        <v>2.8451682825028093</v>
      </c>
      <c r="N82">
        <f t="shared" ca="1" si="82"/>
        <v>3.3906061296004917</v>
      </c>
      <c r="O82">
        <f t="shared" ca="1" si="43"/>
        <v>3.3202358532545095</v>
      </c>
      <c r="P82">
        <f t="shared" ca="1" si="44"/>
        <v>3.3863997938429224</v>
      </c>
      <c r="Q82">
        <f t="shared" ca="1" si="45"/>
        <v>2.4734864628093205</v>
      </c>
      <c r="R82">
        <f t="shared" ca="1" si="46"/>
        <v>3.4543154602176869</v>
      </c>
      <c r="S82">
        <f t="shared" ca="1" si="47"/>
        <v>2.1516833040363004</v>
      </c>
      <c r="T82">
        <f t="shared" ca="1" si="48"/>
        <v>3.4660138542074383</v>
      </c>
      <c r="U82">
        <f t="shared" ca="1" si="49"/>
        <v>4.3941143360183261</v>
      </c>
      <c r="V82">
        <f t="shared" ca="1" si="50"/>
        <v>3.1715197533828001</v>
      </c>
      <c r="W82">
        <f t="shared" ca="1" si="51"/>
        <v>2.4927269589463266</v>
      </c>
      <c r="X82">
        <f t="shared" ca="1" si="52"/>
        <v>2.2465260940429879</v>
      </c>
      <c r="Y82">
        <f t="shared" ca="1" si="53"/>
        <v>2.9714839652075291</v>
      </c>
      <c r="Z82">
        <f t="shared" ca="1" si="54"/>
        <v>3.7725464638290629</v>
      </c>
      <c r="AA82">
        <f t="shared" ca="1" si="55"/>
        <v>3.0490250361116082</v>
      </c>
      <c r="AB82">
        <f t="shared" ca="1" si="56"/>
        <v>2.9399889978217426</v>
      </c>
      <c r="AC82">
        <f t="shared" ca="1" si="57"/>
        <v>2.4122459378564285</v>
      </c>
      <c r="AD82">
        <f t="shared" ca="1" si="58"/>
        <v>2.1830271079225976</v>
      </c>
      <c r="AE82">
        <f t="shared" ca="1" si="59"/>
        <v>2.1758789212903347</v>
      </c>
      <c r="AF82">
        <f t="shared" ca="1" si="60"/>
        <v>2.9561698254827897</v>
      </c>
      <c r="AG82">
        <f t="shared" ca="1" si="61"/>
        <v>3.240157060386831</v>
      </c>
      <c r="AH82">
        <f t="shared" ca="1" si="62"/>
        <v>2.890504687195127</v>
      </c>
      <c r="AI82">
        <f t="shared" ca="1" si="63"/>
        <v>4.7664268201310591</v>
      </c>
      <c r="AJ82">
        <f t="shared" ca="1" si="64"/>
        <v>3.1308249443475185</v>
      </c>
      <c r="AK82">
        <f t="shared" ca="1" si="65"/>
        <v>2.6807728636624923</v>
      </c>
      <c r="AL82">
        <f t="shared" ca="1" si="66"/>
        <v>3.6221915049182059</v>
      </c>
      <c r="AM82">
        <f t="shared" ca="1" si="67"/>
        <v>3.5974625383669667</v>
      </c>
      <c r="AN82">
        <f t="shared" ca="1" si="68"/>
        <v>3.4660697430542404</v>
      </c>
      <c r="AO82">
        <f t="shared" ca="1" si="69"/>
        <v>2.7835583775125885</v>
      </c>
      <c r="AP82">
        <f t="shared" ca="1" si="70"/>
        <v>3.1148869770445287</v>
      </c>
      <c r="AQ82">
        <f t="shared" ca="1" si="71"/>
        <v>3.1664733548394914</v>
      </c>
      <c r="AR82">
        <f t="shared" ca="1" si="72"/>
        <v>2.1719332662590549</v>
      </c>
      <c r="AS82">
        <f t="shared" ca="1" si="73"/>
        <v>4.1700263236385942</v>
      </c>
      <c r="AT82">
        <f t="shared" ca="1" si="74"/>
        <v>3.3849935696407361</v>
      </c>
      <c r="AU82">
        <f t="shared" ca="1" si="75"/>
        <v>3.6313882000305693</v>
      </c>
      <c r="AV82">
        <f t="shared" ca="1" si="76"/>
        <v>3.8047454768627</v>
      </c>
      <c r="AW82">
        <f t="shared" ca="1" si="77"/>
        <v>2.7498744093266261</v>
      </c>
      <c r="AX82">
        <f t="shared" ca="1" si="78"/>
        <v>3.1171204363979346</v>
      </c>
      <c r="AY82">
        <f t="shared" ca="1" si="79"/>
        <v>2.5566318532552113</v>
      </c>
      <c r="AZ82">
        <f t="shared" ca="1" si="80"/>
        <v>4.2326870505381278</v>
      </c>
    </row>
    <row r="83" spans="2:52" x14ac:dyDescent="0.35">
      <c r="B83" s="3">
        <v>45807</v>
      </c>
      <c r="C83" s="4">
        <v>342.45001220703102</v>
      </c>
      <c r="D83">
        <f t="shared" si="42"/>
        <v>-1.7225530169560944E-2</v>
      </c>
      <c r="L83" t="s">
        <v>178</v>
      </c>
      <c r="M83">
        <f t="shared" ca="1" si="81"/>
        <v>2.7977133996713621</v>
      </c>
      <c r="N83">
        <f t="shared" ca="1" si="82"/>
        <v>3.3784457138570922</v>
      </c>
      <c r="O83">
        <f t="shared" ca="1" si="43"/>
        <v>3.2864008600168733</v>
      </c>
      <c r="P83">
        <f t="shared" ca="1" si="44"/>
        <v>3.4261292702130359</v>
      </c>
      <c r="Q83">
        <f t="shared" ca="1" si="45"/>
        <v>2.4764878960869829</v>
      </c>
      <c r="R83">
        <f t="shared" ca="1" si="46"/>
        <v>3.45337142573575</v>
      </c>
      <c r="S83">
        <f t="shared" ca="1" si="47"/>
        <v>2.2296810539500416</v>
      </c>
      <c r="T83">
        <f t="shared" ca="1" si="48"/>
        <v>3.481559075007794</v>
      </c>
      <c r="U83">
        <f t="shared" ca="1" si="49"/>
        <v>4.3765994418122469</v>
      </c>
      <c r="V83">
        <f t="shared" ca="1" si="50"/>
        <v>3.1354240089444994</v>
      </c>
      <c r="W83">
        <f t="shared" ca="1" si="51"/>
        <v>2.5563859764839516</v>
      </c>
      <c r="X83">
        <f t="shared" ca="1" si="52"/>
        <v>2.3483538091199354</v>
      </c>
      <c r="Y83">
        <f t="shared" ca="1" si="53"/>
        <v>3.0662334243211173</v>
      </c>
      <c r="Z83">
        <f t="shared" ca="1" si="54"/>
        <v>3.7334073290243164</v>
      </c>
      <c r="AA83">
        <f t="shared" ca="1" si="55"/>
        <v>2.9440424111863237</v>
      </c>
      <c r="AB83">
        <f t="shared" ca="1" si="56"/>
        <v>2.9200541541625014</v>
      </c>
      <c r="AC83">
        <f t="shared" ca="1" si="57"/>
        <v>2.3561841623354574</v>
      </c>
      <c r="AD83">
        <f t="shared" ca="1" si="58"/>
        <v>2.1390219662598686</v>
      </c>
      <c r="AE83">
        <f t="shared" ca="1" si="59"/>
        <v>2.1945520692197023</v>
      </c>
      <c r="AF83">
        <f t="shared" ca="1" si="60"/>
        <v>2.8207757536037801</v>
      </c>
      <c r="AG83">
        <f t="shared" ca="1" si="61"/>
        <v>3.1497328453321045</v>
      </c>
      <c r="AH83">
        <f t="shared" ca="1" si="62"/>
        <v>2.7661769502951814</v>
      </c>
      <c r="AI83">
        <f t="shared" ca="1" si="63"/>
        <v>4.6764301731663522</v>
      </c>
      <c r="AJ83">
        <f t="shared" ca="1" si="64"/>
        <v>3.0386417519015425</v>
      </c>
      <c r="AK83">
        <f t="shared" ca="1" si="65"/>
        <v>2.730021441388482</v>
      </c>
      <c r="AL83">
        <f t="shared" ca="1" si="66"/>
        <v>3.6044728114943529</v>
      </c>
      <c r="AM83">
        <f t="shared" ca="1" si="67"/>
        <v>3.5174786163492584</v>
      </c>
      <c r="AN83">
        <f t="shared" ca="1" si="68"/>
        <v>3.5261012420756619</v>
      </c>
      <c r="AO83">
        <f t="shared" ca="1" si="69"/>
        <v>2.8275957469390285</v>
      </c>
      <c r="AP83">
        <f t="shared" ca="1" si="70"/>
        <v>2.9530896357287078</v>
      </c>
      <c r="AQ83">
        <f t="shared" ca="1" si="71"/>
        <v>3.1314139676533301</v>
      </c>
      <c r="AR83">
        <f t="shared" ca="1" si="72"/>
        <v>2.1692064002111695</v>
      </c>
      <c r="AS83">
        <f t="shared" ca="1" si="73"/>
        <v>4.0889177743553642</v>
      </c>
      <c r="AT83">
        <f t="shared" ca="1" si="74"/>
        <v>3.3609873128294105</v>
      </c>
      <c r="AU83">
        <f t="shared" ca="1" si="75"/>
        <v>3.6122287812292049</v>
      </c>
      <c r="AV83">
        <f t="shared" ca="1" si="76"/>
        <v>3.9019015925401126</v>
      </c>
      <c r="AW83">
        <f t="shared" ca="1" si="77"/>
        <v>2.6933787579251054</v>
      </c>
      <c r="AX83">
        <f t="shared" ca="1" si="78"/>
        <v>3.1299126789050091</v>
      </c>
      <c r="AY83">
        <f t="shared" ca="1" si="79"/>
        <v>2.5759871611433867</v>
      </c>
      <c r="AZ83">
        <f t="shared" ca="1" si="80"/>
        <v>4.4060767317610035</v>
      </c>
    </row>
    <row r="84" spans="2:52" x14ac:dyDescent="0.35">
      <c r="B84" s="3">
        <v>45810</v>
      </c>
      <c r="C84" s="4">
        <v>344.45001220703102</v>
      </c>
      <c r="D84">
        <f t="shared" si="42"/>
        <v>5.8232801883161406E-3</v>
      </c>
      <c r="L84" t="s">
        <v>179</v>
      </c>
      <c r="M84">
        <f t="shared" ca="1" si="81"/>
        <v>2.7603133859380664</v>
      </c>
      <c r="N84">
        <f t="shared" ca="1" si="82"/>
        <v>3.2831050337050933</v>
      </c>
      <c r="O84">
        <f t="shared" ca="1" si="43"/>
        <v>3.2611014065460449</v>
      </c>
      <c r="P84">
        <f t="shared" ca="1" si="44"/>
        <v>3.5095222656849767</v>
      </c>
      <c r="Q84">
        <f t="shared" ca="1" si="45"/>
        <v>2.3861294062185352</v>
      </c>
      <c r="R84">
        <f t="shared" ca="1" si="46"/>
        <v>3.3118092601529003</v>
      </c>
      <c r="S84">
        <f t="shared" ca="1" si="47"/>
        <v>2.2378266976804775</v>
      </c>
      <c r="T84">
        <f t="shared" ca="1" si="48"/>
        <v>3.309261497283472</v>
      </c>
      <c r="U84">
        <f t="shared" ca="1" si="49"/>
        <v>4.3419623452159497</v>
      </c>
      <c r="V84">
        <f t="shared" ca="1" si="50"/>
        <v>3.1075927537338637</v>
      </c>
      <c r="W84">
        <f t="shared" ca="1" si="51"/>
        <v>2.542909692848613</v>
      </c>
      <c r="X84">
        <f t="shared" ca="1" si="52"/>
        <v>2.3773009406747354</v>
      </c>
      <c r="Y84">
        <f t="shared" ca="1" si="53"/>
        <v>3.0662353279735699</v>
      </c>
      <c r="Z84">
        <f t="shared" ca="1" si="54"/>
        <v>3.7732267700928359</v>
      </c>
      <c r="AA84">
        <f t="shared" ca="1" si="55"/>
        <v>2.8219507764479186</v>
      </c>
      <c r="AB84">
        <f t="shared" ca="1" si="56"/>
        <v>2.959590602408475</v>
      </c>
      <c r="AC84">
        <f t="shared" ca="1" si="57"/>
        <v>2.3266712857141503</v>
      </c>
      <c r="AD84">
        <f t="shared" ca="1" si="58"/>
        <v>2.1478236902585852</v>
      </c>
      <c r="AE84">
        <f t="shared" ca="1" si="59"/>
        <v>2.174133309302217</v>
      </c>
      <c r="AF84">
        <f t="shared" ca="1" si="60"/>
        <v>2.7245343021390411</v>
      </c>
      <c r="AG84">
        <f t="shared" ca="1" si="61"/>
        <v>3.0346451655329978</v>
      </c>
      <c r="AH84">
        <f t="shared" ca="1" si="62"/>
        <v>2.6999915162111328</v>
      </c>
      <c r="AI84">
        <f t="shared" ca="1" si="63"/>
        <v>4.7566732352946284</v>
      </c>
      <c r="AJ84">
        <f t="shared" ca="1" si="64"/>
        <v>3.0003274831877533</v>
      </c>
      <c r="AK84">
        <f t="shared" ca="1" si="65"/>
        <v>2.5944021894978415</v>
      </c>
      <c r="AL84">
        <f t="shared" ca="1" si="66"/>
        <v>3.4509904576543504</v>
      </c>
      <c r="AM84">
        <f t="shared" ca="1" si="67"/>
        <v>3.6640479310033833</v>
      </c>
      <c r="AN84">
        <f t="shared" ca="1" si="68"/>
        <v>3.6000386171496119</v>
      </c>
      <c r="AO84">
        <f t="shared" ca="1" si="69"/>
        <v>2.8791229879755544</v>
      </c>
      <c r="AP84">
        <f t="shared" ca="1" si="70"/>
        <v>3.0012276965902238</v>
      </c>
      <c r="AQ84">
        <f t="shared" ca="1" si="71"/>
        <v>3.1208804033169897</v>
      </c>
      <c r="AR84">
        <f t="shared" ca="1" si="72"/>
        <v>2.0896506521435048</v>
      </c>
      <c r="AS84">
        <f t="shared" ca="1" si="73"/>
        <v>4.1300028146873444</v>
      </c>
      <c r="AT84">
        <f t="shared" ca="1" si="74"/>
        <v>3.5192710900949709</v>
      </c>
      <c r="AU84">
        <f t="shared" ca="1" si="75"/>
        <v>3.6700763352957622</v>
      </c>
      <c r="AV84">
        <f t="shared" ca="1" si="76"/>
        <v>3.8356768039183433</v>
      </c>
      <c r="AW84">
        <f t="shared" ca="1" si="77"/>
        <v>2.7195551467845211</v>
      </c>
      <c r="AX84">
        <f t="shared" ca="1" si="78"/>
        <v>3.1017228101187322</v>
      </c>
      <c r="AY84">
        <f t="shared" ca="1" si="79"/>
        <v>2.5364707666250235</v>
      </c>
      <c r="AZ84">
        <f t="shared" ca="1" si="80"/>
        <v>4.2653318928618855</v>
      </c>
    </row>
    <row r="85" spans="2:52" x14ac:dyDescent="0.35">
      <c r="B85" s="3">
        <v>45811</v>
      </c>
      <c r="C85" s="4">
        <v>340.850006103515</v>
      </c>
      <c r="D85">
        <f t="shared" si="42"/>
        <v>-1.0506461762858155E-2</v>
      </c>
      <c r="L85" t="s">
        <v>180</v>
      </c>
      <c r="M85">
        <f t="shared" ca="1" si="81"/>
        <v>2.7198633951744031</v>
      </c>
      <c r="N85">
        <f t="shared" ca="1" si="82"/>
        <v>3.2922178039030063</v>
      </c>
      <c r="O85">
        <f t="shared" ca="1" si="43"/>
        <v>3.3654963582451689</v>
      </c>
      <c r="P85">
        <f t="shared" ca="1" si="44"/>
        <v>3.462703491651431</v>
      </c>
      <c r="Q85">
        <f t="shared" ca="1" si="45"/>
        <v>2.3967752179915309</v>
      </c>
      <c r="R85">
        <f t="shared" ca="1" si="46"/>
        <v>3.1746976157460796</v>
      </c>
      <c r="S85">
        <f t="shared" ca="1" si="47"/>
        <v>2.2699349978350627</v>
      </c>
      <c r="T85">
        <f t="shared" ca="1" si="48"/>
        <v>3.2613101884198197</v>
      </c>
      <c r="U85">
        <f t="shared" ca="1" si="49"/>
        <v>4.3834928489060347</v>
      </c>
      <c r="V85">
        <f t="shared" ca="1" si="50"/>
        <v>3.1409755728638613</v>
      </c>
      <c r="W85">
        <f t="shared" ca="1" si="51"/>
        <v>2.3956185705266426</v>
      </c>
      <c r="X85">
        <f t="shared" ca="1" si="52"/>
        <v>2.4517971785015429</v>
      </c>
      <c r="Y85">
        <f t="shared" ca="1" si="53"/>
        <v>2.9798034803691253</v>
      </c>
      <c r="Z85">
        <f t="shared" ca="1" si="54"/>
        <v>3.8704827729666684</v>
      </c>
      <c r="AA85">
        <f t="shared" ca="1" si="55"/>
        <v>2.9217060393274141</v>
      </c>
      <c r="AB85">
        <f t="shared" ca="1" si="56"/>
        <v>2.9054069736555501</v>
      </c>
      <c r="AC85">
        <f t="shared" ca="1" si="57"/>
        <v>2.2803769305664234</v>
      </c>
      <c r="AD85">
        <f t="shared" ca="1" si="58"/>
        <v>2.0721157062130779</v>
      </c>
      <c r="AE85">
        <f t="shared" ca="1" si="59"/>
        <v>2.1852838008417002</v>
      </c>
      <c r="AF85">
        <f t="shared" ca="1" si="60"/>
        <v>2.7327712231482013</v>
      </c>
      <c r="AG85">
        <f t="shared" ca="1" si="61"/>
        <v>3.0344740649204525</v>
      </c>
      <c r="AH85">
        <f t="shared" ca="1" si="62"/>
        <v>2.6438039355420413</v>
      </c>
      <c r="AI85">
        <f t="shared" ca="1" si="63"/>
        <v>4.7263693459588714</v>
      </c>
      <c r="AJ85">
        <f t="shared" ca="1" si="64"/>
        <v>2.9858958236402717</v>
      </c>
      <c r="AK85">
        <f t="shared" ca="1" si="65"/>
        <v>2.4737035506153955</v>
      </c>
      <c r="AL85">
        <f t="shared" ca="1" si="66"/>
        <v>3.4007201499194255</v>
      </c>
      <c r="AM85">
        <f t="shared" ca="1" si="67"/>
        <v>3.7660724682809343</v>
      </c>
      <c r="AN85">
        <f t="shared" ca="1" si="68"/>
        <v>3.5505916307822454</v>
      </c>
      <c r="AO85">
        <f t="shared" ca="1" si="69"/>
        <v>2.9439519668042964</v>
      </c>
      <c r="AP85">
        <f t="shared" ca="1" si="70"/>
        <v>2.9378809933897321</v>
      </c>
      <c r="AQ85">
        <f t="shared" ca="1" si="71"/>
        <v>3.2791905645284589</v>
      </c>
      <c r="AR85">
        <f t="shared" ca="1" si="72"/>
        <v>2.1045866097779893</v>
      </c>
      <c r="AS85">
        <f t="shared" ca="1" si="73"/>
        <v>4.171450971340203</v>
      </c>
      <c r="AT85">
        <f t="shared" ca="1" si="74"/>
        <v>3.5818966310974396</v>
      </c>
      <c r="AU85">
        <f t="shared" ca="1" si="75"/>
        <v>3.6566055269027871</v>
      </c>
      <c r="AV85">
        <f t="shared" ca="1" si="76"/>
        <v>3.9123421351880023</v>
      </c>
      <c r="AW85">
        <f t="shared" ca="1" si="77"/>
        <v>2.7614291561657192</v>
      </c>
      <c r="AX85">
        <f t="shared" ca="1" si="78"/>
        <v>3.0560200385363498</v>
      </c>
      <c r="AY85">
        <f t="shared" ca="1" si="79"/>
        <v>2.4178274237692481</v>
      </c>
      <c r="AZ85">
        <f t="shared" ca="1" si="80"/>
        <v>4.3036664613191196</v>
      </c>
    </row>
    <row r="86" spans="2:52" x14ac:dyDescent="0.35">
      <c r="B86" s="3">
        <v>45812</v>
      </c>
      <c r="C86" s="4">
        <v>346.14999389648398</v>
      </c>
      <c r="D86">
        <f t="shared" si="42"/>
        <v>1.5429673775916863E-2</v>
      </c>
      <c r="L86" t="s">
        <v>181</v>
      </c>
      <c r="M86">
        <f t="shared" ca="1" si="81"/>
        <v>2.8800427449845278</v>
      </c>
      <c r="N86">
        <f t="shared" ca="1" si="82"/>
        <v>3.2936163752332113</v>
      </c>
      <c r="O86">
        <f t="shared" ca="1" si="43"/>
        <v>3.2180936076006499</v>
      </c>
      <c r="P86">
        <f t="shared" ca="1" si="44"/>
        <v>3.3801437472631406</v>
      </c>
      <c r="Q86">
        <f t="shared" ca="1" si="45"/>
        <v>2.3787430780285885</v>
      </c>
      <c r="R86">
        <f t="shared" ca="1" si="46"/>
        <v>3.1608851278552068</v>
      </c>
      <c r="S86">
        <f t="shared" ca="1" si="47"/>
        <v>2.3212518673254703</v>
      </c>
      <c r="T86">
        <f t="shared" ca="1" si="48"/>
        <v>3.2891214334988423</v>
      </c>
      <c r="U86">
        <f t="shared" ca="1" si="49"/>
        <v>4.5327686485685383</v>
      </c>
      <c r="V86">
        <f t="shared" ca="1" si="50"/>
        <v>3.1735946474063175</v>
      </c>
      <c r="W86">
        <f t="shared" ca="1" si="51"/>
        <v>2.4049048437365785</v>
      </c>
      <c r="X86">
        <f t="shared" ca="1" si="52"/>
        <v>2.4514975335273381</v>
      </c>
      <c r="Y86">
        <f t="shared" ca="1" si="53"/>
        <v>2.9260608735840314</v>
      </c>
      <c r="Z86">
        <f t="shared" ca="1" si="54"/>
        <v>3.8771345224668905</v>
      </c>
      <c r="AA86">
        <f t="shared" ca="1" si="55"/>
        <v>2.9255325751095613</v>
      </c>
      <c r="AB86">
        <f t="shared" ca="1" si="56"/>
        <v>2.7543237713430422</v>
      </c>
      <c r="AC86">
        <f t="shared" ca="1" si="57"/>
        <v>2.2196924649930354</v>
      </c>
      <c r="AD86">
        <f t="shared" ca="1" si="58"/>
        <v>2.1042618277593435</v>
      </c>
      <c r="AE86">
        <f t="shared" ca="1" si="59"/>
        <v>2.1348957794640646</v>
      </c>
      <c r="AF86">
        <f t="shared" ca="1" si="60"/>
        <v>2.6602212504819041</v>
      </c>
      <c r="AG86">
        <f t="shared" ca="1" si="61"/>
        <v>3.0512403961314472</v>
      </c>
      <c r="AH86">
        <f t="shared" ca="1" si="62"/>
        <v>2.6802173318768552</v>
      </c>
      <c r="AI86">
        <f t="shared" ca="1" si="63"/>
        <v>4.719508548116063</v>
      </c>
      <c r="AJ86">
        <f t="shared" ca="1" si="64"/>
        <v>3.1189004823326005</v>
      </c>
      <c r="AK86">
        <f t="shared" ca="1" si="65"/>
        <v>2.4616720083179922</v>
      </c>
      <c r="AL86">
        <f t="shared" ca="1" si="66"/>
        <v>3.4717118363777333</v>
      </c>
      <c r="AM86">
        <f t="shared" ca="1" si="67"/>
        <v>3.6942735104121844</v>
      </c>
      <c r="AN86">
        <f t="shared" ca="1" si="68"/>
        <v>3.4650817391361013</v>
      </c>
      <c r="AO86">
        <f t="shared" ca="1" si="69"/>
        <v>2.9108662922706823</v>
      </c>
      <c r="AP86">
        <f t="shared" ca="1" si="70"/>
        <v>2.8604460883350109</v>
      </c>
      <c r="AQ86">
        <f t="shared" ca="1" si="71"/>
        <v>3.2256301817027104</v>
      </c>
      <c r="AR86">
        <f t="shared" ca="1" si="72"/>
        <v>2.0534079854256411</v>
      </c>
      <c r="AS86">
        <f t="shared" ca="1" si="73"/>
        <v>4.1655136405163535</v>
      </c>
      <c r="AT86">
        <f t="shared" ca="1" si="74"/>
        <v>3.4815523420572987</v>
      </c>
      <c r="AU86">
        <f t="shared" ca="1" si="75"/>
        <v>3.6794378979133984</v>
      </c>
      <c r="AV86">
        <f t="shared" ca="1" si="76"/>
        <v>3.8127474428732726</v>
      </c>
      <c r="AW86">
        <f t="shared" ca="1" si="77"/>
        <v>2.7708171823230061</v>
      </c>
      <c r="AX86">
        <f t="shared" ca="1" si="78"/>
        <v>2.9883211895903732</v>
      </c>
      <c r="AY86">
        <f t="shared" ca="1" si="79"/>
        <v>2.4189687277737182</v>
      </c>
      <c r="AZ86">
        <f t="shared" ca="1" si="80"/>
        <v>4.2824946338419991</v>
      </c>
    </row>
    <row r="87" spans="2:52" x14ac:dyDescent="0.35">
      <c r="B87" s="3">
        <v>45813</v>
      </c>
      <c r="C87" s="4">
        <v>359.75</v>
      </c>
      <c r="D87">
        <f t="shared" si="42"/>
        <v>3.853715627601851E-2</v>
      </c>
      <c r="L87" t="s">
        <v>182</v>
      </c>
      <c r="M87">
        <f t="shared" ca="1" si="81"/>
        <v>2.92479795771726</v>
      </c>
      <c r="N87">
        <f t="shared" ca="1" si="82"/>
        <v>3.1738336071281097</v>
      </c>
      <c r="O87">
        <f t="shared" ca="1" si="43"/>
        <v>3.1652597278442607</v>
      </c>
      <c r="P87">
        <f t="shared" ca="1" si="44"/>
        <v>3.3558057487933324</v>
      </c>
      <c r="Q87">
        <f t="shared" ca="1" si="45"/>
        <v>2.3977956318008036</v>
      </c>
      <c r="R87">
        <f t="shared" ca="1" si="46"/>
        <v>3.16670342771436</v>
      </c>
      <c r="S87">
        <f t="shared" ca="1" si="47"/>
        <v>2.2246641467899417</v>
      </c>
      <c r="T87">
        <f t="shared" ca="1" si="48"/>
        <v>3.291380126498801</v>
      </c>
      <c r="U87">
        <f t="shared" ca="1" si="49"/>
        <v>4.6469716314419802</v>
      </c>
      <c r="V87">
        <f t="shared" ca="1" si="50"/>
        <v>3.1354793492236595</v>
      </c>
      <c r="W87">
        <f t="shared" ca="1" si="51"/>
        <v>2.3876791666359107</v>
      </c>
      <c r="X87">
        <f t="shared" ca="1" si="52"/>
        <v>2.475374519194161</v>
      </c>
      <c r="Y87">
        <f t="shared" ca="1" si="53"/>
        <v>2.9026919696000366</v>
      </c>
      <c r="Z87">
        <f t="shared" ca="1" si="54"/>
        <v>3.8390821690203007</v>
      </c>
      <c r="AA87">
        <f t="shared" ca="1" si="55"/>
        <v>2.8931014787362508</v>
      </c>
      <c r="AB87">
        <f t="shared" ca="1" si="56"/>
        <v>2.6621948723257138</v>
      </c>
      <c r="AC87">
        <f t="shared" ca="1" si="57"/>
        <v>2.2367159790182214</v>
      </c>
      <c r="AD87">
        <f t="shared" ca="1" si="58"/>
        <v>2.0378436704607124</v>
      </c>
      <c r="AE87">
        <f t="shared" ca="1" si="59"/>
        <v>2.1191385384663479</v>
      </c>
      <c r="AF87">
        <f t="shared" ca="1" si="60"/>
        <v>2.7219000631110428</v>
      </c>
      <c r="AG87">
        <f t="shared" ca="1" si="61"/>
        <v>3.0124719541386193</v>
      </c>
      <c r="AH87">
        <f t="shared" ca="1" si="62"/>
        <v>2.5046636325100793</v>
      </c>
      <c r="AI87">
        <f t="shared" ca="1" si="63"/>
        <v>4.7864372108950581</v>
      </c>
      <c r="AJ87">
        <f t="shared" ca="1" si="64"/>
        <v>3.0667029843901754</v>
      </c>
      <c r="AK87">
        <f t="shared" ca="1" si="65"/>
        <v>2.4855769265752055</v>
      </c>
      <c r="AL87">
        <f t="shared" ca="1" si="66"/>
        <v>3.6690504033135238</v>
      </c>
      <c r="AM87">
        <f t="shared" ca="1" si="67"/>
        <v>3.6949435550306369</v>
      </c>
      <c r="AN87">
        <f t="shared" ca="1" si="68"/>
        <v>3.4883120506588248</v>
      </c>
      <c r="AO87">
        <f t="shared" ca="1" si="69"/>
        <v>2.7650963367681891</v>
      </c>
      <c r="AP87">
        <f t="shared" ca="1" si="70"/>
        <v>2.7357121907118147</v>
      </c>
      <c r="AQ87">
        <f t="shared" ca="1" si="71"/>
        <v>3.2706861015960529</v>
      </c>
      <c r="AR87">
        <f t="shared" ca="1" si="72"/>
        <v>2.1465305638588776</v>
      </c>
      <c r="AS87">
        <f t="shared" ca="1" si="73"/>
        <v>4.1150949317121412</v>
      </c>
      <c r="AT87">
        <f t="shared" ca="1" si="74"/>
        <v>3.531762135904966</v>
      </c>
      <c r="AU87">
        <f t="shared" ca="1" si="75"/>
        <v>3.6181233534340143</v>
      </c>
      <c r="AV87">
        <f t="shared" ca="1" si="76"/>
        <v>3.7994518068610543</v>
      </c>
      <c r="AW87">
        <f t="shared" ca="1" si="77"/>
        <v>2.7057408079788963</v>
      </c>
      <c r="AX87">
        <f t="shared" ca="1" si="78"/>
        <v>3.0760320030322164</v>
      </c>
      <c r="AY87">
        <f t="shared" ca="1" si="79"/>
        <v>2.3866610405749684</v>
      </c>
      <c r="AZ87">
        <f t="shared" ca="1" si="80"/>
        <v>4.2830910887371907</v>
      </c>
    </row>
    <row r="88" spans="2:52" x14ac:dyDescent="0.35">
      <c r="B88" s="3">
        <v>45814</v>
      </c>
      <c r="C88" s="4">
        <v>358.04998779296801</v>
      </c>
      <c r="D88">
        <f t="shared" si="42"/>
        <v>-4.7367384076221451E-3</v>
      </c>
      <c r="L88" t="s">
        <v>183</v>
      </c>
      <c r="M88">
        <f t="shared" ca="1" si="81"/>
        <v>2.9791950009628962</v>
      </c>
      <c r="N88">
        <f t="shared" ca="1" si="82"/>
        <v>3.1298065905608805</v>
      </c>
      <c r="O88">
        <f t="shared" ca="1" si="43"/>
        <v>3.2478130120865303</v>
      </c>
      <c r="P88">
        <f t="shared" ca="1" si="44"/>
        <v>3.4121012599134581</v>
      </c>
      <c r="Q88">
        <f t="shared" ca="1" si="45"/>
        <v>2.2987166891156492</v>
      </c>
      <c r="R88">
        <f t="shared" ca="1" si="46"/>
        <v>3.1519301868006231</v>
      </c>
      <c r="S88">
        <f t="shared" ca="1" si="47"/>
        <v>2.2029883175111227</v>
      </c>
      <c r="T88">
        <f t="shared" ca="1" si="48"/>
        <v>3.166685087376115</v>
      </c>
      <c r="U88">
        <f t="shared" ca="1" si="49"/>
        <v>4.4999564225642272</v>
      </c>
      <c r="V88">
        <f t="shared" ca="1" si="50"/>
        <v>3.0965640666341105</v>
      </c>
      <c r="W88">
        <f t="shared" ca="1" si="51"/>
        <v>2.3385798774552784</v>
      </c>
      <c r="X88">
        <f t="shared" ca="1" si="52"/>
        <v>2.4700954574097058</v>
      </c>
      <c r="Y88">
        <f t="shared" ca="1" si="53"/>
        <v>2.8114083077528944</v>
      </c>
      <c r="Z88">
        <f t="shared" ca="1" si="54"/>
        <v>3.8374828217273014</v>
      </c>
      <c r="AA88">
        <f t="shared" ca="1" si="55"/>
        <v>2.8934790266218755</v>
      </c>
      <c r="AB88">
        <f t="shared" ca="1" si="56"/>
        <v>2.603086774805079</v>
      </c>
      <c r="AC88">
        <f t="shared" ca="1" si="57"/>
        <v>2.2133215446012606</v>
      </c>
      <c r="AD88">
        <f t="shared" ca="1" si="58"/>
        <v>2.0282644049573482</v>
      </c>
      <c r="AE88">
        <f t="shared" ca="1" si="59"/>
        <v>2.155924118345184</v>
      </c>
      <c r="AF88">
        <f t="shared" ca="1" si="60"/>
        <v>2.6414758740751232</v>
      </c>
      <c r="AG88">
        <f t="shared" ca="1" si="61"/>
        <v>2.9503114973763558</v>
      </c>
      <c r="AH88">
        <f t="shared" ca="1" si="62"/>
        <v>2.4836425066238106</v>
      </c>
      <c r="AI88">
        <f t="shared" ca="1" si="63"/>
        <v>4.6600132885217818</v>
      </c>
      <c r="AJ88">
        <f t="shared" ca="1" si="64"/>
        <v>3.0659262765560924</v>
      </c>
      <c r="AK88">
        <f t="shared" ca="1" si="65"/>
        <v>2.3779218196242029</v>
      </c>
      <c r="AL88">
        <f t="shared" ca="1" si="66"/>
        <v>3.7143591423929765</v>
      </c>
      <c r="AM88">
        <f t="shared" ca="1" si="67"/>
        <v>3.660826387566595</v>
      </c>
      <c r="AN88">
        <f t="shared" ca="1" si="68"/>
        <v>3.4019681170499649</v>
      </c>
      <c r="AO88">
        <f t="shared" ca="1" si="69"/>
        <v>2.7310988570116392</v>
      </c>
      <c r="AP88">
        <f t="shared" ca="1" si="70"/>
        <v>2.7222597176065726</v>
      </c>
      <c r="AQ88">
        <f t="shared" ca="1" si="71"/>
        <v>3.2612108828240003</v>
      </c>
      <c r="AR88">
        <f t="shared" ca="1" si="72"/>
        <v>2.1217481353816199</v>
      </c>
      <c r="AS88">
        <f t="shared" ca="1" si="73"/>
        <v>4.3220265996850307</v>
      </c>
      <c r="AT88">
        <f t="shared" ca="1" si="74"/>
        <v>3.4061072503318717</v>
      </c>
      <c r="AU88">
        <f t="shared" ca="1" si="75"/>
        <v>3.5122127415725304</v>
      </c>
      <c r="AV88">
        <f t="shared" ca="1" si="76"/>
        <v>3.7987407730301377</v>
      </c>
      <c r="AW88">
        <f t="shared" ca="1" si="77"/>
        <v>2.7359375584215653</v>
      </c>
      <c r="AX88">
        <f t="shared" ca="1" si="78"/>
        <v>3.0208757250668348</v>
      </c>
      <c r="AY88">
        <f t="shared" ca="1" si="79"/>
        <v>2.3296603980462876</v>
      </c>
      <c r="AZ88">
        <f t="shared" ca="1" si="80"/>
        <v>4.1461455198043593</v>
      </c>
    </row>
    <row r="89" spans="2:52" x14ac:dyDescent="0.35">
      <c r="B89" s="3">
        <v>45817</v>
      </c>
      <c r="C89" s="4">
        <v>361.54998779296801</v>
      </c>
      <c r="D89">
        <f t="shared" si="42"/>
        <v>9.7277034980517221E-3</v>
      </c>
      <c r="L89" t="s">
        <v>184</v>
      </c>
      <c r="M89">
        <f t="shared" ca="1" si="81"/>
        <v>2.9454540189700502</v>
      </c>
      <c r="N89">
        <f t="shared" ca="1" si="82"/>
        <v>3.1550042332312973</v>
      </c>
      <c r="O89">
        <f t="shared" ca="1" si="43"/>
        <v>3.2262579184840861</v>
      </c>
      <c r="P89">
        <f t="shared" ca="1" si="44"/>
        <v>3.4697860316580926</v>
      </c>
      <c r="Q89">
        <f t="shared" ca="1" si="45"/>
        <v>2.2212666054055079</v>
      </c>
      <c r="R89">
        <f t="shared" ca="1" si="46"/>
        <v>3.242601313280189</v>
      </c>
      <c r="S89">
        <f t="shared" ca="1" si="47"/>
        <v>2.2351977029236334</v>
      </c>
      <c r="T89">
        <f t="shared" ca="1" si="48"/>
        <v>3.3111972974952502</v>
      </c>
      <c r="U89">
        <f t="shared" ca="1" si="49"/>
        <v>4.4435422351360012</v>
      </c>
      <c r="V89">
        <f t="shared" ca="1" si="50"/>
        <v>3.0386772420417874</v>
      </c>
      <c r="W89">
        <f t="shared" ca="1" si="51"/>
        <v>2.3387738583507409</v>
      </c>
      <c r="X89">
        <f t="shared" ca="1" si="52"/>
        <v>2.4601565664120155</v>
      </c>
      <c r="Y89">
        <f t="shared" ca="1" si="53"/>
        <v>2.8316794111116805</v>
      </c>
      <c r="Z89">
        <f t="shared" ca="1" si="54"/>
        <v>3.7002352379204573</v>
      </c>
      <c r="AA89">
        <f t="shared" ca="1" si="55"/>
        <v>2.9485602952506329</v>
      </c>
      <c r="AB89">
        <f t="shared" ca="1" si="56"/>
        <v>2.6820225744611847</v>
      </c>
      <c r="AC89">
        <f t="shared" ca="1" si="57"/>
        <v>2.1774687658866383</v>
      </c>
      <c r="AD89">
        <f t="shared" ca="1" si="58"/>
        <v>2.028975830909574</v>
      </c>
      <c r="AE89">
        <f t="shared" ca="1" si="59"/>
        <v>2.1502386656591002</v>
      </c>
      <c r="AF89">
        <f t="shared" ca="1" si="60"/>
        <v>2.6505666635059866</v>
      </c>
      <c r="AG89">
        <f t="shared" ca="1" si="61"/>
        <v>2.9965334117542826</v>
      </c>
      <c r="AH89">
        <f t="shared" ca="1" si="62"/>
        <v>2.5250015226774254</v>
      </c>
      <c r="AI89">
        <f t="shared" ca="1" si="63"/>
        <v>4.6536897873709799</v>
      </c>
      <c r="AJ89">
        <f t="shared" ca="1" si="64"/>
        <v>3.0930395007101508</v>
      </c>
      <c r="AK89">
        <f t="shared" ca="1" si="65"/>
        <v>2.4186376764877044</v>
      </c>
      <c r="AL89">
        <f t="shared" ca="1" si="66"/>
        <v>3.8143892796489101</v>
      </c>
      <c r="AM89">
        <f t="shared" ca="1" si="67"/>
        <v>3.7068631468592166</v>
      </c>
      <c r="AN89">
        <f t="shared" ca="1" si="68"/>
        <v>3.4303435512133769</v>
      </c>
      <c r="AO89">
        <f t="shared" ca="1" si="69"/>
        <v>2.7511039507834711</v>
      </c>
      <c r="AP89">
        <f t="shared" ca="1" si="70"/>
        <v>2.7872880039383254</v>
      </c>
      <c r="AQ89">
        <f t="shared" ca="1" si="71"/>
        <v>3.1925996376233128</v>
      </c>
      <c r="AR89">
        <f t="shared" ca="1" si="72"/>
        <v>2.1187790077768747</v>
      </c>
      <c r="AS89">
        <f t="shared" ca="1" si="73"/>
        <v>4.1751845146373521</v>
      </c>
      <c r="AT89">
        <f t="shared" ca="1" si="74"/>
        <v>3.4565711593420843</v>
      </c>
      <c r="AU89">
        <f t="shared" ca="1" si="75"/>
        <v>3.5563013990079506</v>
      </c>
      <c r="AV89">
        <f t="shared" ca="1" si="76"/>
        <v>3.8339018716821118</v>
      </c>
      <c r="AW89">
        <f t="shared" ca="1" si="77"/>
        <v>2.7342853539727967</v>
      </c>
      <c r="AX89">
        <f t="shared" ca="1" si="78"/>
        <v>3.0371017997746028</v>
      </c>
      <c r="AY89">
        <f t="shared" ca="1" si="79"/>
        <v>2.2715264078839579</v>
      </c>
      <c r="AZ89">
        <f t="shared" ca="1" si="80"/>
        <v>4.0415055895547507</v>
      </c>
    </row>
    <row r="90" spans="2:52" x14ac:dyDescent="0.35">
      <c r="B90" s="3">
        <v>45818</v>
      </c>
      <c r="C90" s="4">
        <v>355.04998779296801</v>
      </c>
      <c r="D90">
        <f t="shared" si="42"/>
        <v>-1.8141720610967992E-2</v>
      </c>
      <c r="L90" t="s">
        <v>185</v>
      </c>
      <c r="M90">
        <f t="shared" ca="1" si="81"/>
        <v>2.8426211245851283</v>
      </c>
      <c r="N90">
        <f t="shared" ca="1" si="82"/>
        <v>3.240344565558674</v>
      </c>
      <c r="O90">
        <f t="shared" ca="1" si="43"/>
        <v>3.1249258031182059</v>
      </c>
      <c r="P90">
        <f t="shared" ca="1" si="44"/>
        <v>3.510860269847436</v>
      </c>
      <c r="Q90">
        <f t="shared" ca="1" si="45"/>
        <v>2.2641900051036816</v>
      </c>
      <c r="R90">
        <f t="shared" ca="1" si="46"/>
        <v>3.246651636671317</v>
      </c>
      <c r="S90">
        <f t="shared" ca="1" si="47"/>
        <v>2.2289068261349945</v>
      </c>
      <c r="T90">
        <f t="shared" ca="1" si="48"/>
        <v>3.3421906435029376</v>
      </c>
      <c r="U90">
        <f t="shared" ca="1" si="49"/>
        <v>4.4411841146046527</v>
      </c>
      <c r="V90">
        <f t="shared" ca="1" si="50"/>
        <v>2.9617837959208559</v>
      </c>
      <c r="W90">
        <f t="shared" ca="1" si="51"/>
        <v>2.2918116590919944</v>
      </c>
      <c r="X90">
        <f t="shared" ca="1" si="52"/>
        <v>2.5017829061038279</v>
      </c>
      <c r="Y90">
        <f t="shared" ca="1" si="53"/>
        <v>2.9055537038348449</v>
      </c>
      <c r="Z90">
        <f t="shared" ca="1" si="54"/>
        <v>3.7822837455653215</v>
      </c>
      <c r="AA90">
        <f t="shared" ca="1" si="55"/>
        <v>2.9015532905164685</v>
      </c>
      <c r="AB90">
        <f t="shared" ca="1" si="56"/>
        <v>2.5839284987188957</v>
      </c>
      <c r="AC90">
        <f t="shared" ca="1" si="57"/>
        <v>2.1926540779171213</v>
      </c>
      <c r="AD90">
        <f t="shared" ca="1" si="58"/>
        <v>2.057524340132296</v>
      </c>
      <c r="AE90">
        <f t="shared" ca="1" si="59"/>
        <v>2.0807560553695548</v>
      </c>
      <c r="AF90">
        <f t="shared" ca="1" si="60"/>
        <v>2.5995759881518357</v>
      </c>
      <c r="AG90">
        <f t="shared" ca="1" si="61"/>
        <v>2.8516417689013038</v>
      </c>
      <c r="AH90">
        <f t="shared" ca="1" si="62"/>
        <v>2.3877230990137406</v>
      </c>
      <c r="AI90">
        <f t="shared" ca="1" si="63"/>
        <v>4.6467442437583797</v>
      </c>
      <c r="AJ90">
        <f t="shared" ca="1" si="64"/>
        <v>3.1169328885500862</v>
      </c>
      <c r="AK90">
        <f t="shared" ca="1" si="65"/>
        <v>2.4154398915335684</v>
      </c>
      <c r="AL90">
        <f t="shared" ca="1" si="66"/>
        <v>3.6687660558328488</v>
      </c>
      <c r="AM90">
        <f t="shared" ca="1" si="67"/>
        <v>3.7152791673192014</v>
      </c>
      <c r="AN90">
        <f t="shared" ca="1" si="68"/>
        <v>3.488572378683171</v>
      </c>
      <c r="AO90">
        <f t="shared" ca="1" si="69"/>
        <v>2.711810651078117</v>
      </c>
      <c r="AP90">
        <f t="shared" ca="1" si="70"/>
        <v>2.7771830356535476</v>
      </c>
      <c r="AQ90">
        <f t="shared" ca="1" si="71"/>
        <v>3.2991799285948007</v>
      </c>
      <c r="AR90">
        <f t="shared" ca="1" si="72"/>
        <v>2.123682164715583</v>
      </c>
      <c r="AS90">
        <f t="shared" ca="1" si="73"/>
        <v>4.298496715594065</v>
      </c>
      <c r="AT90">
        <f t="shared" ca="1" si="74"/>
        <v>3.5232420173750953</v>
      </c>
      <c r="AU90">
        <f t="shared" ca="1" si="75"/>
        <v>3.5756793441764456</v>
      </c>
      <c r="AV90">
        <f t="shared" ca="1" si="76"/>
        <v>3.8433159976597207</v>
      </c>
      <c r="AW90">
        <f t="shared" ca="1" si="77"/>
        <v>2.7302378222355683</v>
      </c>
      <c r="AX90">
        <f t="shared" ca="1" si="78"/>
        <v>2.9786043066626</v>
      </c>
      <c r="AY90">
        <f t="shared" ca="1" si="79"/>
        <v>2.2614478484607758</v>
      </c>
      <c r="AZ90">
        <f t="shared" ca="1" si="80"/>
        <v>4.0616114746204959</v>
      </c>
    </row>
    <row r="91" spans="2:52" x14ac:dyDescent="0.35">
      <c r="B91" s="3">
        <v>45819</v>
      </c>
      <c r="C91" s="4">
        <v>350.64999389648398</v>
      </c>
      <c r="D91">
        <f t="shared" si="42"/>
        <v>-1.2470032670310754E-2</v>
      </c>
      <c r="L91" t="s">
        <v>186</v>
      </c>
      <c r="M91">
        <f t="shared" ca="1" si="81"/>
        <v>2.8911322608054628</v>
      </c>
      <c r="N91">
        <f t="shared" ca="1" si="82"/>
        <v>3.2190529364500544</v>
      </c>
      <c r="O91">
        <f t="shared" ca="1" si="43"/>
        <v>3.0282168855587179</v>
      </c>
      <c r="P91">
        <f t="shared" ca="1" si="44"/>
        <v>3.534453997846823</v>
      </c>
      <c r="Q91">
        <f t="shared" ca="1" si="45"/>
        <v>2.355547659636879</v>
      </c>
      <c r="R91">
        <f t="shared" ca="1" si="46"/>
        <v>3.1999982394156361</v>
      </c>
      <c r="S91">
        <f t="shared" ca="1" si="47"/>
        <v>2.2065424125210846</v>
      </c>
      <c r="T91">
        <f t="shared" ca="1" si="48"/>
        <v>3.2780426819888349</v>
      </c>
      <c r="U91">
        <f t="shared" ca="1" si="49"/>
        <v>4.5799289293682763</v>
      </c>
      <c r="V91">
        <f t="shared" ca="1" si="50"/>
        <v>2.8801643646884481</v>
      </c>
      <c r="W91">
        <f t="shared" ca="1" si="51"/>
        <v>2.2541251593156488</v>
      </c>
      <c r="X91">
        <f t="shared" ca="1" si="52"/>
        <v>2.5179994673430453</v>
      </c>
      <c r="Y91">
        <f t="shared" ca="1" si="53"/>
        <v>2.8946445347542236</v>
      </c>
      <c r="Z91">
        <f t="shared" ca="1" si="54"/>
        <v>3.6519697421957478</v>
      </c>
      <c r="AA91">
        <f t="shared" ca="1" si="55"/>
        <v>2.9238263075279409</v>
      </c>
      <c r="AB91">
        <f t="shared" ca="1" si="56"/>
        <v>2.4409755024388073</v>
      </c>
      <c r="AC91">
        <f t="shared" ca="1" si="57"/>
        <v>2.209631826469646</v>
      </c>
      <c r="AD91">
        <f t="shared" ca="1" si="58"/>
        <v>2.0287434114635463</v>
      </c>
      <c r="AE91">
        <f t="shared" ca="1" si="59"/>
        <v>2.0560007406519616</v>
      </c>
      <c r="AF91">
        <f t="shared" ca="1" si="60"/>
        <v>2.4958411728272325</v>
      </c>
      <c r="AG91">
        <f t="shared" ca="1" si="61"/>
        <v>2.7960054771732956</v>
      </c>
      <c r="AH91">
        <f t="shared" ca="1" si="62"/>
        <v>2.4046348355780722</v>
      </c>
      <c r="AI91">
        <f t="shared" ca="1" si="63"/>
        <v>4.7085426822023457</v>
      </c>
      <c r="AJ91">
        <f t="shared" ca="1" si="64"/>
        <v>3.0766338997033364</v>
      </c>
      <c r="AK91">
        <f t="shared" ca="1" si="65"/>
        <v>2.3195062089479825</v>
      </c>
      <c r="AL91">
        <f t="shared" ca="1" si="66"/>
        <v>3.8725404005612321</v>
      </c>
      <c r="AM91">
        <f t="shared" ca="1" si="67"/>
        <v>3.7406045051258134</v>
      </c>
      <c r="AN91">
        <f t="shared" ca="1" si="68"/>
        <v>3.3710018616847695</v>
      </c>
      <c r="AO91">
        <f t="shared" ca="1" si="69"/>
        <v>2.735294889330282</v>
      </c>
      <c r="AP91">
        <f t="shared" ca="1" si="70"/>
        <v>2.7449423123277521</v>
      </c>
      <c r="AQ91">
        <f t="shared" ca="1" si="71"/>
        <v>3.3451644932400484</v>
      </c>
      <c r="AR91">
        <f t="shared" ca="1" si="72"/>
        <v>2.2554506683766862</v>
      </c>
      <c r="AS91">
        <f t="shared" ca="1" si="73"/>
        <v>4.306395191414623</v>
      </c>
      <c r="AT91">
        <f t="shared" ca="1" si="74"/>
        <v>3.4585059580320068</v>
      </c>
      <c r="AU91">
        <f t="shared" ca="1" si="75"/>
        <v>3.5876743468671153</v>
      </c>
      <c r="AV91">
        <f t="shared" ca="1" si="76"/>
        <v>3.7894780868760702</v>
      </c>
      <c r="AW91">
        <f t="shared" ca="1" si="77"/>
        <v>2.7858335676929844</v>
      </c>
      <c r="AX91">
        <f t="shared" ca="1" si="78"/>
        <v>3.0740510153293172</v>
      </c>
      <c r="AY91">
        <f t="shared" ca="1" si="79"/>
        <v>2.2576843145506058</v>
      </c>
      <c r="AZ91">
        <f t="shared" ca="1" si="80"/>
        <v>4.2027069130430608</v>
      </c>
    </row>
    <row r="92" spans="2:52" x14ac:dyDescent="0.35">
      <c r="B92" s="3">
        <v>45820</v>
      </c>
      <c r="C92" s="4">
        <v>347.79998779296801</v>
      </c>
      <c r="D92">
        <f t="shared" si="42"/>
        <v>-8.1609907542952789E-3</v>
      </c>
      <c r="L92" t="s">
        <v>187</v>
      </c>
      <c r="M92">
        <f t="shared" ca="1" si="81"/>
        <v>2.7848389882828641</v>
      </c>
      <c r="N92">
        <f t="shared" ca="1" si="82"/>
        <v>3.4795019191167524</v>
      </c>
      <c r="O92">
        <f t="shared" ca="1" si="43"/>
        <v>3.0192394525854191</v>
      </c>
      <c r="P92">
        <f t="shared" ca="1" si="44"/>
        <v>3.5093807701546167</v>
      </c>
      <c r="Q92">
        <f t="shared" ca="1" si="45"/>
        <v>2.2982881661711514</v>
      </c>
      <c r="R92">
        <f t="shared" ca="1" si="46"/>
        <v>3.4015557843308706</v>
      </c>
      <c r="S92">
        <f t="shared" ca="1" si="47"/>
        <v>2.2643393674177137</v>
      </c>
      <c r="T92">
        <f t="shared" ca="1" si="48"/>
        <v>3.3144578645357612</v>
      </c>
      <c r="U92">
        <f t="shared" ca="1" si="49"/>
        <v>4.7574143565095905</v>
      </c>
      <c r="V92">
        <f t="shared" ca="1" si="50"/>
        <v>2.8867390547731784</v>
      </c>
      <c r="W92">
        <f t="shared" ca="1" si="51"/>
        <v>2.2774467065922166</v>
      </c>
      <c r="X92">
        <f t="shared" ca="1" si="52"/>
        <v>2.5726499097258309</v>
      </c>
      <c r="Y92">
        <f t="shared" ca="1" si="53"/>
        <v>2.931584331727664</v>
      </c>
      <c r="Z92">
        <f t="shared" ca="1" si="54"/>
        <v>3.6164189747311473</v>
      </c>
      <c r="AA92">
        <f t="shared" ca="1" si="55"/>
        <v>2.926316901799094</v>
      </c>
      <c r="AB92">
        <f t="shared" ca="1" si="56"/>
        <v>2.3914731823434603</v>
      </c>
      <c r="AC92">
        <f t="shared" ca="1" si="57"/>
        <v>2.2304828276237374</v>
      </c>
      <c r="AD92">
        <f t="shared" ca="1" si="58"/>
        <v>2.0390622352799439</v>
      </c>
      <c r="AE92">
        <f t="shared" ca="1" si="59"/>
        <v>1.9870952524248346</v>
      </c>
      <c r="AF92">
        <f t="shared" ca="1" si="60"/>
        <v>2.4693932304257844</v>
      </c>
      <c r="AG92">
        <f t="shared" ca="1" si="61"/>
        <v>2.7906300215504127</v>
      </c>
      <c r="AH92">
        <f t="shared" ca="1" si="62"/>
        <v>2.4937258097098391</v>
      </c>
      <c r="AI92">
        <f t="shared" ca="1" si="63"/>
        <v>4.7364037393507248</v>
      </c>
      <c r="AJ92">
        <f t="shared" ca="1" si="64"/>
        <v>3.1624854950383545</v>
      </c>
      <c r="AK92">
        <f t="shared" ca="1" si="65"/>
        <v>2.2587572366526123</v>
      </c>
      <c r="AL92">
        <f t="shared" ca="1" si="66"/>
        <v>3.8147744074823162</v>
      </c>
      <c r="AM92">
        <f t="shared" ca="1" si="67"/>
        <v>3.5440952249372657</v>
      </c>
      <c r="AN92">
        <f t="shared" ca="1" si="68"/>
        <v>3.4927035425307804</v>
      </c>
      <c r="AO92">
        <f t="shared" ca="1" si="69"/>
        <v>2.8267449255751784</v>
      </c>
      <c r="AP92">
        <f t="shared" ca="1" si="70"/>
        <v>2.7147740119994621</v>
      </c>
      <c r="AQ92">
        <f t="shared" ca="1" si="71"/>
        <v>3.3229888119663951</v>
      </c>
      <c r="AR92">
        <f t="shared" ca="1" si="72"/>
        <v>2.3512948234840727</v>
      </c>
      <c r="AS92">
        <f t="shared" ca="1" si="73"/>
        <v>4.1998059949220972</v>
      </c>
      <c r="AT92">
        <f t="shared" ca="1" si="74"/>
        <v>3.490566665420999</v>
      </c>
      <c r="AU92">
        <f t="shared" ca="1" si="75"/>
        <v>3.6524181713682871</v>
      </c>
      <c r="AV92">
        <f t="shared" ca="1" si="76"/>
        <v>3.8658681673720343</v>
      </c>
      <c r="AW92">
        <f t="shared" ca="1" si="77"/>
        <v>2.7900467061311192</v>
      </c>
      <c r="AX92">
        <f t="shared" ca="1" si="78"/>
        <v>3.1702236165955457</v>
      </c>
      <c r="AY92">
        <f t="shared" ca="1" si="79"/>
        <v>2.2492164430523616</v>
      </c>
      <c r="AZ92">
        <f t="shared" ca="1" si="80"/>
        <v>4.227655605774042</v>
      </c>
    </row>
    <row r="93" spans="2:52" x14ac:dyDescent="0.35">
      <c r="B93" s="3">
        <v>45821</v>
      </c>
      <c r="C93" s="4">
        <v>349.70001220703102</v>
      </c>
      <c r="D93">
        <f t="shared" si="42"/>
        <v>5.4481121541487638E-3</v>
      </c>
      <c r="L93" t="s">
        <v>188</v>
      </c>
      <c r="M93">
        <f t="shared" ca="1" si="81"/>
        <v>2.8626718646542733</v>
      </c>
      <c r="N93">
        <f t="shared" ca="1" si="82"/>
        <v>3.4878686122770532</v>
      </c>
      <c r="O93">
        <f t="shared" ca="1" si="43"/>
        <v>3.0559566789303951</v>
      </c>
      <c r="P93">
        <f t="shared" ca="1" si="44"/>
        <v>3.4365275571067202</v>
      </c>
      <c r="Q93">
        <f t="shared" ca="1" si="45"/>
        <v>2.321705047962038</v>
      </c>
      <c r="R93">
        <f t="shared" ca="1" si="46"/>
        <v>3.2967290116588801</v>
      </c>
      <c r="S93">
        <f t="shared" ca="1" si="47"/>
        <v>2.3193976182485105</v>
      </c>
      <c r="T93">
        <f t="shared" ca="1" si="48"/>
        <v>3.3094278758650901</v>
      </c>
      <c r="U93">
        <f t="shared" ca="1" si="49"/>
        <v>4.5664808638073167</v>
      </c>
      <c r="V93">
        <f t="shared" ca="1" si="50"/>
        <v>2.880564958433204</v>
      </c>
      <c r="W93">
        <f t="shared" ca="1" si="51"/>
        <v>2.2144020225525005</v>
      </c>
      <c r="X93">
        <f t="shared" ca="1" si="52"/>
        <v>2.509677005756346</v>
      </c>
      <c r="Y93">
        <f t="shared" ca="1" si="53"/>
        <v>2.9986900882686656</v>
      </c>
      <c r="Z93">
        <f t="shared" ca="1" si="54"/>
        <v>3.6441170151990883</v>
      </c>
      <c r="AA93">
        <f t="shared" ca="1" si="55"/>
        <v>2.9420334793355591</v>
      </c>
      <c r="AB93">
        <f t="shared" ca="1" si="56"/>
        <v>2.4029027126208518</v>
      </c>
      <c r="AC93">
        <f t="shared" ca="1" si="57"/>
        <v>2.2436612513205763</v>
      </c>
      <c r="AD93">
        <f t="shared" ca="1" si="58"/>
        <v>1.9856157500950307</v>
      </c>
      <c r="AE93">
        <f t="shared" ca="1" si="59"/>
        <v>1.9716015019633408</v>
      </c>
      <c r="AF93">
        <f t="shared" ca="1" si="60"/>
        <v>2.4061774158611762</v>
      </c>
      <c r="AG93">
        <f t="shared" ca="1" si="61"/>
        <v>2.8007871672826927</v>
      </c>
      <c r="AH93">
        <f t="shared" ca="1" si="62"/>
        <v>2.5955568862019778</v>
      </c>
      <c r="AI93">
        <f t="shared" ca="1" si="63"/>
        <v>4.8661583073031229</v>
      </c>
      <c r="AJ93">
        <f t="shared" ca="1" si="64"/>
        <v>3.0336743791764507</v>
      </c>
      <c r="AK93">
        <f t="shared" ca="1" si="65"/>
        <v>2.2405489074220637</v>
      </c>
      <c r="AL93">
        <f t="shared" ca="1" si="66"/>
        <v>4.0602936109293291</v>
      </c>
      <c r="AM93">
        <f t="shared" ca="1" si="67"/>
        <v>3.5591989734093428</v>
      </c>
      <c r="AN93">
        <f t="shared" ca="1" si="68"/>
        <v>3.384898728322943</v>
      </c>
      <c r="AO93">
        <f t="shared" ca="1" si="69"/>
        <v>2.9171976598932248</v>
      </c>
      <c r="AP93">
        <f t="shared" ca="1" si="70"/>
        <v>2.6573017037136442</v>
      </c>
      <c r="AQ93">
        <f t="shared" ca="1" si="71"/>
        <v>3.2889883441910142</v>
      </c>
      <c r="AR93">
        <f t="shared" ca="1" si="72"/>
        <v>2.4077861346183225</v>
      </c>
      <c r="AS93">
        <f t="shared" ca="1" si="73"/>
        <v>4.1202491495946418</v>
      </c>
      <c r="AT93">
        <f t="shared" ca="1" si="74"/>
        <v>3.4504150638845039</v>
      </c>
      <c r="AU93">
        <f t="shared" ca="1" si="75"/>
        <v>3.6739763965123955</v>
      </c>
      <c r="AV93">
        <f t="shared" ca="1" si="76"/>
        <v>3.8890626118955045</v>
      </c>
      <c r="AW93">
        <f t="shared" ca="1" si="77"/>
        <v>2.6756966407080309</v>
      </c>
      <c r="AX93">
        <f t="shared" ca="1" si="78"/>
        <v>3.3167834815053281</v>
      </c>
      <c r="AY93">
        <f t="shared" ca="1" si="79"/>
        <v>2.22002103268809</v>
      </c>
      <c r="AZ93">
        <f t="shared" ca="1" si="80"/>
        <v>4.1231703030962734</v>
      </c>
    </row>
    <row r="94" spans="2:52" x14ac:dyDescent="0.35">
      <c r="B94" s="3">
        <v>45824</v>
      </c>
      <c r="C94" s="4">
        <v>343.95001220703102</v>
      </c>
      <c r="D94">
        <f t="shared" si="42"/>
        <v>-1.6579345513745174E-2</v>
      </c>
      <c r="L94" t="s">
        <v>189</v>
      </c>
      <c r="M94">
        <f t="shared" ca="1" si="81"/>
        <v>2.8616081829723834</v>
      </c>
      <c r="N94">
        <f t="shared" ca="1" si="82"/>
        <v>3.5191174428800984</v>
      </c>
      <c r="O94">
        <f t="shared" ca="1" si="43"/>
        <v>3.0956970459163586</v>
      </c>
      <c r="P94">
        <f t="shared" ca="1" si="44"/>
        <v>3.6353720485805776</v>
      </c>
      <c r="Q94">
        <f t="shared" ca="1" si="45"/>
        <v>2.3358569480788423</v>
      </c>
      <c r="R94">
        <f t="shared" ca="1" si="46"/>
        <v>3.3375393582797162</v>
      </c>
      <c r="S94">
        <f t="shared" ca="1" si="47"/>
        <v>2.3584028370686974</v>
      </c>
      <c r="T94">
        <f t="shared" ca="1" si="48"/>
        <v>3.141980555856656</v>
      </c>
      <c r="U94">
        <f t="shared" ca="1" si="49"/>
        <v>4.5774087504364029</v>
      </c>
      <c r="V94">
        <f t="shared" ca="1" si="50"/>
        <v>2.9699974532656772</v>
      </c>
      <c r="W94">
        <f t="shared" ca="1" si="51"/>
        <v>2.3065631035137115</v>
      </c>
      <c r="X94">
        <f t="shared" ca="1" si="52"/>
        <v>2.4747210157509802</v>
      </c>
      <c r="Y94">
        <f t="shared" ca="1" si="53"/>
        <v>2.9344726157958556</v>
      </c>
      <c r="Z94">
        <f t="shared" ca="1" si="54"/>
        <v>3.6317876816334453</v>
      </c>
      <c r="AA94">
        <f t="shared" ca="1" si="55"/>
        <v>2.8916640810814536</v>
      </c>
      <c r="AB94">
        <f t="shared" ca="1" si="56"/>
        <v>2.5526187636623834</v>
      </c>
      <c r="AC94">
        <f t="shared" ca="1" si="57"/>
        <v>2.2644786377054587</v>
      </c>
      <c r="AD94">
        <f t="shared" ca="1" si="58"/>
        <v>1.9155483293799787</v>
      </c>
      <c r="AE94">
        <f t="shared" ca="1" si="59"/>
        <v>2.0187851151658278</v>
      </c>
      <c r="AF94">
        <f t="shared" ca="1" si="60"/>
        <v>2.3453913364178454</v>
      </c>
      <c r="AG94">
        <f t="shared" ca="1" si="61"/>
        <v>2.9118723523438614</v>
      </c>
      <c r="AH94">
        <f t="shared" ca="1" si="62"/>
        <v>2.6730983303340881</v>
      </c>
      <c r="AI94">
        <f t="shared" ca="1" si="63"/>
        <v>5.0693821267801349</v>
      </c>
      <c r="AJ94">
        <f t="shared" ca="1" si="64"/>
        <v>3.009392459783613</v>
      </c>
      <c r="AK94">
        <f t="shared" ca="1" si="65"/>
        <v>2.1829604938847971</v>
      </c>
      <c r="AL94">
        <f t="shared" ca="1" si="66"/>
        <v>3.9587120870578625</v>
      </c>
      <c r="AM94">
        <f t="shared" ca="1" si="67"/>
        <v>3.5799985543523425</v>
      </c>
      <c r="AN94">
        <f t="shared" ca="1" si="68"/>
        <v>3.3886761276000503</v>
      </c>
      <c r="AO94">
        <f t="shared" ca="1" si="69"/>
        <v>3.0084137881458184</v>
      </c>
      <c r="AP94">
        <f t="shared" ca="1" si="70"/>
        <v>2.6286444312459665</v>
      </c>
      <c r="AQ94">
        <f t="shared" ca="1" si="71"/>
        <v>3.2215133830449831</v>
      </c>
      <c r="AR94">
        <f t="shared" ca="1" si="72"/>
        <v>2.4246440493025467</v>
      </c>
      <c r="AS94">
        <f t="shared" ca="1" si="73"/>
        <v>4.2406454054042575</v>
      </c>
      <c r="AT94">
        <f t="shared" ca="1" si="74"/>
        <v>3.3301820608378923</v>
      </c>
      <c r="AU94">
        <f t="shared" ca="1" si="75"/>
        <v>3.7943197416271128</v>
      </c>
      <c r="AV94">
        <f t="shared" ca="1" si="76"/>
        <v>3.9305184449854229</v>
      </c>
      <c r="AW94">
        <f t="shared" ca="1" si="77"/>
        <v>2.7577681347490741</v>
      </c>
      <c r="AX94">
        <f t="shared" ca="1" si="78"/>
        <v>3.1766225391482443</v>
      </c>
      <c r="AY94">
        <f t="shared" ca="1" si="79"/>
        <v>2.1814670704655659</v>
      </c>
      <c r="AZ94">
        <f t="shared" ca="1" si="80"/>
        <v>4.0826341402883326</v>
      </c>
    </row>
    <row r="95" spans="2:52" x14ac:dyDescent="0.35">
      <c r="B95" s="3">
        <v>45825</v>
      </c>
      <c r="C95" s="4">
        <v>335.850006103515</v>
      </c>
      <c r="D95">
        <f t="shared" si="42"/>
        <v>-2.3831683576526631E-2</v>
      </c>
      <c r="L95" t="s">
        <v>190</v>
      </c>
      <c r="M95">
        <f t="shared" ca="1" si="81"/>
        <v>2.889996222366491</v>
      </c>
      <c r="N95">
        <f t="shared" ca="1" si="82"/>
        <v>3.3428207299778938</v>
      </c>
      <c r="O95">
        <f t="shared" ca="1" si="43"/>
        <v>3.0868892313224596</v>
      </c>
      <c r="P95">
        <f t="shared" ca="1" si="44"/>
        <v>3.6975904455953108</v>
      </c>
      <c r="Q95">
        <f t="shared" ca="1" si="45"/>
        <v>2.3266216199718537</v>
      </c>
      <c r="R95">
        <f t="shared" ca="1" si="46"/>
        <v>3.342294754376995</v>
      </c>
      <c r="S95">
        <f t="shared" ca="1" si="47"/>
        <v>2.2427809804965415</v>
      </c>
      <c r="T95">
        <f t="shared" ca="1" si="48"/>
        <v>3.0851845170789467</v>
      </c>
      <c r="U95">
        <f t="shared" ca="1" si="49"/>
        <v>4.5805908538221907</v>
      </c>
      <c r="V95">
        <f t="shared" ca="1" si="50"/>
        <v>3.0198976040807151</v>
      </c>
      <c r="W95">
        <f t="shared" ca="1" si="51"/>
        <v>2.4470134181645689</v>
      </c>
      <c r="X95">
        <f t="shared" ca="1" si="52"/>
        <v>2.4607345275466623</v>
      </c>
      <c r="Y95">
        <f t="shared" ca="1" si="53"/>
        <v>2.8250629065734683</v>
      </c>
      <c r="Z95">
        <f t="shared" ca="1" si="54"/>
        <v>3.6416343936883897</v>
      </c>
      <c r="AA95">
        <f t="shared" ca="1" si="55"/>
        <v>2.8081798420935375</v>
      </c>
      <c r="AB95">
        <f t="shared" ca="1" si="56"/>
        <v>2.5037563844240815</v>
      </c>
      <c r="AC95">
        <f t="shared" ca="1" si="57"/>
        <v>2.2335692434220569</v>
      </c>
      <c r="AD95">
        <f t="shared" ca="1" si="58"/>
        <v>1.9099547962454297</v>
      </c>
      <c r="AE95">
        <f t="shared" ca="1" si="59"/>
        <v>1.985956331490502</v>
      </c>
      <c r="AF95">
        <f t="shared" ca="1" si="60"/>
        <v>2.3234990245539335</v>
      </c>
      <c r="AG95">
        <f t="shared" ca="1" si="61"/>
        <v>2.8645511773677135</v>
      </c>
      <c r="AH95">
        <f t="shared" ca="1" si="62"/>
        <v>2.5513037597793269</v>
      </c>
      <c r="AI95">
        <f t="shared" ca="1" si="63"/>
        <v>5.338707234379938</v>
      </c>
      <c r="AJ95">
        <f t="shared" ca="1" si="64"/>
        <v>2.9383765129259571</v>
      </c>
      <c r="AK95">
        <f t="shared" ca="1" si="65"/>
        <v>2.2533462167232332</v>
      </c>
      <c r="AL95">
        <f t="shared" ca="1" si="66"/>
        <v>4.0836202274403721</v>
      </c>
      <c r="AM95">
        <f t="shared" ca="1" si="67"/>
        <v>3.639310298826953</v>
      </c>
      <c r="AN95">
        <f t="shared" ca="1" si="68"/>
        <v>3.4186433034132038</v>
      </c>
      <c r="AO95">
        <f t="shared" ca="1" si="69"/>
        <v>3.0170536271506161</v>
      </c>
      <c r="AP95">
        <f t="shared" ca="1" si="70"/>
        <v>2.6466737119601276</v>
      </c>
      <c r="AQ95">
        <f t="shared" ca="1" si="71"/>
        <v>3.2181261670121821</v>
      </c>
      <c r="AR95">
        <f t="shared" ca="1" si="72"/>
        <v>2.3504002394919565</v>
      </c>
      <c r="AS95">
        <f t="shared" ca="1" si="73"/>
        <v>4.4090990953974671</v>
      </c>
      <c r="AT95">
        <f t="shared" ca="1" si="74"/>
        <v>3.4316488267055818</v>
      </c>
      <c r="AU95">
        <f t="shared" ca="1" si="75"/>
        <v>3.7287634893911838</v>
      </c>
      <c r="AV95">
        <f t="shared" ca="1" si="76"/>
        <v>3.8011848108257014</v>
      </c>
      <c r="AW95">
        <f t="shared" ca="1" si="77"/>
        <v>2.7402689338431419</v>
      </c>
      <c r="AX95">
        <f t="shared" ca="1" si="78"/>
        <v>3.1801453115877441</v>
      </c>
      <c r="AY95">
        <f t="shared" ca="1" si="79"/>
        <v>2.2694370251642249</v>
      </c>
      <c r="AZ95">
        <f t="shared" ca="1" si="80"/>
        <v>4.1314388460315881</v>
      </c>
    </row>
    <row r="96" spans="2:52" x14ac:dyDescent="0.35">
      <c r="B96" s="3">
        <v>45826</v>
      </c>
      <c r="C96" s="4">
        <v>324.89999389648398</v>
      </c>
      <c r="D96">
        <f t="shared" si="42"/>
        <v>-3.3147225996984789E-2</v>
      </c>
      <c r="L96" t="s">
        <v>191</v>
      </c>
      <c r="M96">
        <f t="shared" ca="1" si="81"/>
        <v>2.9378273295407831</v>
      </c>
      <c r="N96">
        <f t="shared" ca="1" si="82"/>
        <v>3.2794160443543507</v>
      </c>
      <c r="O96">
        <f t="shared" ca="1" si="43"/>
        <v>3.0958267044259205</v>
      </c>
      <c r="P96">
        <f t="shared" ca="1" si="44"/>
        <v>3.6650615748442292</v>
      </c>
      <c r="Q96">
        <f t="shared" ca="1" si="45"/>
        <v>2.3544042211024387</v>
      </c>
      <c r="R96">
        <f t="shared" ca="1" si="46"/>
        <v>3.2404780540964198</v>
      </c>
      <c r="S96">
        <f t="shared" ca="1" si="47"/>
        <v>2.2892984541057273</v>
      </c>
      <c r="T96">
        <f t="shared" ca="1" si="48"/>
        <v>3.0424179579570128</v>
      </c>
      <c r="U96">
        <f t="shared" ca="1" si="49"/>
        <v>4.5674871546542635</v>
      </c>
      <c r="V96">
        <f t="shared" ca="1" si="50"/>
        <v>2.9872617953295268</v>
      </c>
      <c r="W96">
        <f t="shared" ca="1" si="51"/>
        <v>2.4194001958120053</v>
      </c>
      <c r="X96">
        <f t="shared" ca="1" si="52"/>
        <v>2.3772265220765529</v>
      </c>
      <c r="Y96">
        <f t="shared" ca="1" si="53"/>
        <v>2.8023478495647165</v>
      </c>
      <c r="Z96">
        <f t="shared" ca="1" si="54"/>
        <v>3.8892856972370495</v>
      </c>
      <c r="AA96">
        <f t="shared" ca="1" si="55"/>
        <v>2.7885454826208309</v>
      </c>
      <c r="AB96">
        <f t="shared" ca="1" si="56"/>
        <v>2.4024102503188742</v>
      </c>
      <c r="AC96">
        <f t="shared" ca="1" si="57"/>
        <v>2.2542612851152719</v>
      </c>
      <c r="AD96">
        <f t="shared" ca="1" si="58"/>
        <v>1.8897115660864907</v>
      </c>
      <c r="AE96">
        <f t="shared" ca="1" si="59"/>
        <v>1.9972108339957289</v>
      </c>
      <c r="AF96">
        <f t="shared" ca="1" si="60"/>
        <v>2.2849045982223708</v>
      </c>
      <c r="AG96">
        <f t="shared" ca="1" si="61"/>
        <v>2.8793158546490059</v>
      </c>
      <c r="AH96">
        <f t="shared" ca="1" si="62"/>
        <v>2.6075057671449868</v>
      </c>
      <c r="AI96">
        <f t="shared" ca="1" si="63"/>
        <v>5.5466480779305005</v>
      </c>
      <c r="AJ96">
        <f t="shared" ca="1" si="64"/>
        <v>2.9974380799271909</v>
      </c>
      <c r="AK96">
        <f t="shared" ca="1" si="65"/>
        <v>2.2352313431860509</v>
      </c>
      <c r="AL96">
        <f t="shared" ca="1" si="66"/>
        <v>4.1100314039608952</v>
      </c>
      <c r="AM96">
        <f t="shared" ca="1" si="67"/>
        <v>3.6600984888544268</v>
      </c>
      <c r="AN96">
        <f t="shared" ca="1" si="68"/>
        <v>3.3773674761243644</v>
      </c>
      <c r="AO96">
        <f t="shared" ca="1" si="69"/>
        <v>2.9301291434890908</v>
      </c>
      <c r="AP96">
        <f t="shared" ca="1" si="70"/>
        <v>2.6628062604031646</v>
      </c>
      <c r="AQ96">
        <f t="shared" ca="1" si="71"/>
        <v>3.3219286857362129</v>
      </c>
      <c r="AR96">
        <f t="shared" ca="1" si="72"/>
        <v>2.4182289595048263</v>
      </c>
      <c r="AS96">
        <f t="shared" ca="1" si="73"/>
        <v>4.3033511084214604</v>
      </c>
      <c r="AT96">
        <f t="shared" ca="1" si="74"/>
        <v>3.4357089710853006</v>
      </c>
      <c r="AU96">
        <f t="shared" ca="1" si="75"/>
        <v>3.7578071998098896</v>
      </c>
      <c r="AV96">
        <f t="shared" ca="1" si="76"/>
        <v>3.8337541258719412</v>
      </c>
      <c r="AW96">
        <f t="shared" ca="1" si="77"/>
        <v>2.8303213893210901</v>
      </c>
      <c r="AX96">
        <f t="shared" ca="1" si="78"/>
        <v>3.366736145139213</v>
      </c>
      <c r="AY96">
        <f t="shared" ca="1" si="79"/>
        <v>2.2740448325625056</v>
      </c>
      <c r="AZ96">
        <f t="shared" ca="1" si="80"/>
        <v>3.9661016432979923</v>
      </c>
    </row>
    <row r="97" spans="2:52" x14ac:dyDescent="0.35">
      <c r="B97" s="3">
        <v>45828</v>
      </c>
      <c r="C97" s="4">
        <v>319.04998779296801</v>
      </c>
      <c r="D97">
        <f t="shared" si="42"/>
        <v>-1.8169631835430688E-2</v>
      </c>
      <c r="L97" t="s">
        <v>192</v>
      </c>
      <c r="M97">
        <f t="shared" ca="1" si="81"/>
        <v>2.9835534894426163</v>
      </c>
      <c r="N97">
        <f t="shared" ca="1" si="82"/>
        <v>3.1615926386866979</v>
      </c>
      <c r="O97">
        <f t="shared" ca="1" si="43"/>
        <v>3.1843629259775885</v>
      </c>
      <c r="P97">
        <f t="shared" ca="1" si="44"/>
        <v>3.6827771162505947</v>
      </c>
      <c r="Q97">
        <f t="shared" ca="1" si="45"/>
        <v>2.2728832596688124</v>
      </c>
      <c r="R97">
        <f t="shared" ca="1" si="46"/>
        <v>3.2630851578598188</v>
      </c>
      <c r="S97">
        <f t="shared" ca="1" si="47"/>
        <v>2.3451588758905579</v>
      </c>
      <c r="T97">
        <f t="shared" ca="1" si="48"/>
        <v>3.0017428860701187</v>
      </c>
      <c r="U97">
        <f t="shared" ca="1" si="49"/>
        <v>4.5054446562979988</v>
      </c>
      <c r="V97">
        <f t="shared" ca="1" si="50"/>
        <v>2.9875443072472287</v>
      </c>
      <c r="W97">
        <f t="shared" ca="1" si="51"/>
        <v>2.5279121317100173</v>
      </c>
      <c r="X97">
        <f t="shared" ca="1" si="52"/>
        <v>2.4131539916602236</v>
      </c>
      <c r="Y97">
        <f t="shared" ca="1" si="53"/>
        <v>2.7465207346052236</v>
      </c>
      <c r="Z97">
        <f t="shared" ca="1" si="54"/>
        <v>3.9168065820110001</v>
      </c>
      <c r="AA97">
        <f t="shared" ca="1" si="55"/>
        <v>2.7443266301796148</v>
      </c>
      <c r="AB97">
        <f t="shared" ca="1" si="56"/>
        <v>2.4004459444088968</v>
      </c>
      <c r="AC97">
        <f t="shared" ca="1" si="57"/>
        <v>2.1632277900408279</v>
      </c>
      <c r="AD97">
        <f t="shared" ca="1" si="58"/>
        <v>1.8954473828867795</v>
      </c>
      <c r="AE97">
        <f t="shared" ca="1" si="59"/>
        <v>2.0378086576055425</v>
      </c>
      <c r="AF97">
        <f t="shared" ca="1" si="60"/>
        <v>2.3181188762518539</v>
      </c>
      <c r="AG97">
        <f t="shared" ca="1" si="61"/>
        <v>2.8162139239364077</v>
      </c>
      <c r="AH97">
        <f t="shared" ca="1" si="62"/>
        <v>2.6072401523358439</v>
      </c>
      <c r="AI97">
        <f t="shared" ca="1" si="63"/>
        <v>5.5602444115268836</v>
      </c>
      <c r="AJ97">
        <f t="shared" ca="1" si="64"/>
        <v>3.0349992830162256</v>
      </c>
      <c r="AK97">
        <f t="shared" ca="1" si="65"/>
        <v>2.1349829921755608</v>
      </c>
      <c r="AL97">
        <f t="shared" ca="1" si="66"/>
        <v>4.0349135633131388</v>
      </c>
      <c r="AM97">
        <f t="shared" ca="1" si="67"/>
        <v>3.6449533078759453</v>
      </c>
      <c r="AN97">
        <f t="shared" ca="1" si="68"/>
        <v>3.3067306710172528</v>
      </c>
      <c r="AO97">
        <f t="shared" ca="1" si="69"/>
        <v>2.9962490676957558</v>
      </c>
      <c r="AP97">
        <f t="shared" ca="1" si="70"/>
        <v>2.5964969036776657</v>
      </c>
      <c r="AQ97">
        <f t="shared" ca="1" si="71"/>
        <v>3.4927235842683237</v>
      </c>
      <c r="AR97">
        <f t="shared" ca="1" si="72"/>
        <v>2.381829747794836</v>
      </c>
      <c r="AS97">
        <f t="shared" ca="1" si="73"/>
        <v>4.0650363312670397</v>
      </c>
      <c r="AT97">
        <f t="shared" ca="1" si="74"/>
        <v>3.3383996251127619</v>
      </c>
      <c r="AU97">
        <f t="shared" ca="1" si="75"/>
        <v>3.6980239245160238</v>
      </c>
      <c r="AV97">
        <f t="shared" ca="1" si="76"/>
        <v>3.7618914988714542</v>
      </c>
      <c r="AW97">
        <f t="shared" ca="1" si="77"/>
        <v>2.9047194713865698</v>
      </c>
      <c r="AX97">
        <f t="shared" ca="1" si="78"/>
        <v>3.3388991363063032</v>
      </c>
      <c r="AY97">
        <f t="shared" ca="1" si="79"/>
        <v>2.2636504166876117</v>
      </c>
      <c r="AZ97">
        <f t="shared" ca="1" si="80"/>
        <v>4.1045469136183588</v>
      </c>
    </row>
    <row r="98" spans="2:52" x14ac:dyDescent="0.35">
      <c r="B98" s="3">
        <v>45831</v>
      </c>
      <c r="C98" s="4">
        <v>330.29998779296801</v>
      </c>
      <c r="D98">
        <f t="shared" si="42"/>
        <v>3.4653503385540706E-2</v>
      </c>
      <c r="L98" t="s">
        <v>193</v>
      </c>
      <c r="M98">
        <f t="shared" ca="1" si="81"/>
        <v>2.954110634094532</v>
      </c>
      <c r="N98">
        <f t="shared" ca="1" si="82"/>
        <v>2.9794218712043392</v>
      </c>
      <c r="O98">
        <f t="shared" ca="1" si="43"/>
        <v>3.2844424843861826</v>
      </c>
      <c r="P98">
        <f t="shared" ca="1" si="44"/>
        <v>3.7452636311420875</v>
      </c>
      <c r="Q98">
        <f t="shared" ca="1" si="45"/>
        <v>2.3042301543674046</v>
      </c>
      <c r="R98">
        <f t="shared" ca="1" si="46"/>
        <v>3.3918459814489963</v>
      </c>
      <c r="S98">
        <f t="shared" ca="1" si="47"/>
        <v>2.3414065439596685</v>
      </c>
      <c r="T98">
        <f t="shared" ca="1" si="48"/>
        <v>3.0620085508604706</v>
      </c>
      <c r="U98">
        <f t="shared" ca="1" si="49"/>
        <v>4.3980068339837191</v>
      </c>
      <c r="V98">
        <f t="shared" ca="1" si="50"/>
        <v>3.064363926860195</v>
      </c>
      <c r="W98">
        <f t="shared" ca="1" si="51"/>
        <v>2.4447097076712119</v>
      </c>
      <c r="X98">
        <f t="shared" ca="1" si="52"/>
        <v>2.3915254246036621</v>
      </c>
      <c r="Y98">
        <f t="shared" ca="1" si="53"/>
        <v>2.6464619535436147</v>
      </c>
      <c r="Z98">
        <f t="shared" ca="1" si="54"/>
        <v>3.7605779245421029</v>
      </c>
      <c r="AA98">
        <f t="shared" ca="1" si="55"/>
        <v>2.8199959059426645</v>
      </c>
      <c r="AB98">
        <f t="shared" ca="1" si="56"/>
        <v>2.3913146620242731</v>
      </c>
      <c r="AC98">
        <f t="shared" ca="1" si="57"/>
        <v>2.0893933098702195</v>
      </c>
      <c r="AD98">
        <f t="shared" ca="1" si="58"/>
        <v>1.8560537511977113</v>
      </c>
      <c r="AE98">
        <f t="shared" ca="1" si="59"/>
        <v>2.0410754969654019</v>
      </c>
      <c r="AF98">
        <f t="shared" ca="1" si="60"/>
        <v>2.3099340890981011</v>
      </c>
      <c r="AG98">
        <f t="shared" ca="1" si="61"/>
        <v>2.719433688697106</v>
      </c>
      <c r="AH98">
        <f t="shared" ca="1" si="62"/>
        <v>2.5663484620181882</v>
      </c>
      <c r="AI98">
        <f t="shared" ca="1" si="63"/>
        <v>5.7563136462582465</v>
      </c>
      <c r="AJ98">
        <f t="shared" ca="1" si="64"/>
        <v>3.0280173810197644</v>
      </c>
      <c r="AK98">
        <f t="shared" ca="1" si="65"/>
        <v>2.2436916470718846</v>
      </c>
      <c r="AL98">
        <f t="shared" ca="1" si="66"/>
        <v>4.0534694551203003</v>
      </c>
      <c r="AM98">
        <f t="shared" ca="1" si="67"/>
        <v>3.6932772074388867</v>
      </c>
      <c r="AN98">
        <f t="shared" ca="1" si="68"/>
        <v>3.2819244869699187</v>
      </c>
      <c r="AO98">
        <f t="shared" ca="1" si="69"/>
        <v>3.0311247948209505</v>
      </c>
      <c r="AP98">
        <f t="shared" ca="1" si="70"/>
        <v>2.4819693585076448</v>
      </c>
      <c r="AQ98">
        <f t="shared" ca="1" si="71"/>
        <v>3.6011948392652067</v>
      </c>
      <c r="AR98">
        <f t="shared" ca="1" si="72"/>
        <v>2.3332531367922331</v>
      </c>
      <c r="AS98">
        <f t="shared" ca="1" si="73"/>
        <v>3.9180653049486907</v>
      </c>
      <c r="AT98">
        <f t="shared" ca="1" si="74"/>
        <v>3.2261142093640101</v>
      </c>
      <c r="AU98">
        <f t="shared" ca="1" si="75"/>
        <v>3.8831236637338922</v>
      </c>
      <c r="AV98">
        <f t="shared" ca="1" si="76"/>
        <v>3.7316756070983437</v>
      </c>
      <c r="AW98">
        <f t="shared" ca="1" si="77"/>
        <v>2.9074861180025233</v>
      </c>
      <c r="AX98">
        <f t="shared" ca="1" si="78"/>
        <v>3.243469797944547</v>
      </c>
      <c r="AY98">
        <f t="shared" ca="1" si="79"/>
        <v>2.2460912426311728</v>
      </c>
      <c r="AZ98">
        <f t="shared" ca="1" si="80"/>
        <v>4.0611015981504064</v>
      </c>
    </row>
    <row r="99" spans="2:52" x14ac:dyDescent="0.35">
      <c r="B99" s="3">
        <v>45832</v>
      </c>
      <c r="C99" s="4">
        <v>315.350006103515</v>
      </c>
      <c r="D99">
        <f t="shared" si="42"/>
        <v>-4.6318142974942043E-2</v>
      </c>
      <c r="L99" t="s">
        <v>194</v>
      </c>
      <c r="M99">
        <f t="shared" ca="1" si="81"/>
        <v>3.0210339111110707</v>
      </c>
      <c r="N99">
        <f t="shared" ca="1" si="82"/>
        <v>2.9717875899068691</v>
      </c>
      <c r="O99">
        <f t="shared" ca="1" si="43"/>
        <v>3.4066906629443952</v>
      </c>
      <c r="P99">
        <f t="shared" ca="1" si="44"/>
        <v>3.7234739211892793</v>
      </c>
      <c r="Q99">
        <f t="shared" ca="1" si="45"/>
        <v>2.4128342134129341</v>
      </c>
      <c r="R99">
        <f t="shared" ca="1" si="46"/>
        <v>3.4397574333192051</v>
      </c>
      <c r="S99">
        <f t="shared" ca="1" si="47"/>
        <v>2.3190662336040084</v>
      </c>
      <c r="T99">
        <f t="shared" ca="1" si="48"/>
        <v>3.0829524213926423</v>
      </c>
      <c r="U99">
        <f t="shared" ca="1" si="49"/>
        <v>4.1761460624682307</v>
      </c>
      <c r="V99">
        <f t="shared" ca="1" si="50"/>
        <v>3.0441562399761883</v>
      </c>
      <c r="W99">
        <f t="shared" ca="1" si="51"/>
        <v>2.336599100514209</v>
      </c>
      <c r="X99">
        <f t="shared" ca="1" si="52"/>
        <v>2.4157168243928631</v>
      </c>
      <c r="Y99">
        <f t="shared" ca="1" si="53"/>
        <v>2.5828573199539173</v>
      </c>
      <c r="Z99">
        <f t="shared" ca="1" si="54"/>
        <v>3.7046908788796786</v>
      </c>
      <c r="AA99">
        <f t="shared" ca="1" si="55"/>
        <v>2.9157764995847613</v>
      </c>
      <c r="AB99">
        <f t="shared" ca="1" si="56"/>
        <v>2.3897271198041792</v>
      </c>
      <c r="AC99">
        <f t="shared" ca="1" si="57"/>
        <v>2.0952723458706823</v>
      </c>
      <c r="AD99">
        <f t="shared" ca="1" si="58"/>
        <v>1.856574059010009</v>
      </c>
      <c r="AE99">
        <f t="shared" ca="1" si="59"/>
        <v>1.94811905059715</v>
      </c>
      <c r="AF99">
        <f t="shared" ca="1" si="60"/>
        <v>2.3543490187672425</v>
      </c>
      <c r="AG99">
        <f t="shared" ca="1" si="61"/>
        <v>2.681883070200735</v>
      </c>
      <c r="AH99">
        <f t="shared" ca="1" si="62"/>
        <v>2.5422382730997657</v>
      </c>
      <c r="AI99">
        <f t="shared" ca="1" si="63"/>
        <v>5.714217496463772</v>
      </c>
      <c r="AJ99">
        <f t="shared" ca="1" si="64"/>
        <v>3.0556513011520936</v>
      </c>
      <c r="AK99">
        <f t="shared" ca="1" si="65"/>
        <v>2.1996125301694391</v>
      </c>
      <c r="AL99">
        <f t="shared" ca="1" si="66"/>
        <v>4.0971733882291606</v>
      </c>
      <c r="AM99">
        <f t="shared" ca="1" si="67"/>
        <v>3.6268001401696837</v>
      </c>
      <c r="AN99">
        <f t="shared" ca="1" si="68"/>
        <v>3.147330378368185</v>
      </c>
      <c r="AO99">
        <f t="shared" ca="1" si="69"/>
        <v>2.992270987080965</v>
      </c>
      <c r="AP99">
        <f t="shared" ca="1" si="70"/>
        <v>2.4003689090269851</v>
      </c>
      <c r="AQ99">
        <f t="shared" ca="1" si="71"/>
        <v>3.613552231646314</v>
      </c>
      <c r="AR99">
        <f t="shared" ca="1" si="72"/>
        <v>2.4100283553679525</v>
      </c>
      <c r="AS99">
        <f t="shared" ca="1" si="73"/>
        <v>3.73568116137367</v>
      </c>
      <c r="AT99">
        <f t="shared" ca="1" si="74"/>
        <v>3.2121410773419519</v>
      </c>
      <c r="AU99">
        <f t="shared" ca="1" si="75"/>
        <v>3.8571252005774905</v>
      </c>
      <c r="AV99">
        <f t="shared" ca="1" si="76"/>
        <v>3.8263638321946676</v>
      </c>
      <c r="AW99">
        <f t="shared" ca="1" si="77"/>
        <v>2.749129646203138</v>
      </c>
      <c r="AX99">
        <f t="shared" ca="1" si="78"/>
        <v>3.1819773870068659</v>
      </c>
      <c r="AY99">
        <f t="shared" ca="1" si="79"/>
        <v>2.3085882877785227</v>
      </c>
      <c r="AZ99">
        <f t="shared" ca="1" si="80"/>
        <v>3.7863798099805717</v>
      </c>
    </row>
    <row r="100" spans="2:52" x14ac:dyDescent="0.35">
      <c r="B100" s="3">
        <v>45833</v>
      </c>
      <c r="C100" s="4">
        <v>308.64999389648398</v>
      </c>
      <c r="D100">
        <f t="shared" si="42"/>
        <v>-2.1475223399365962E-2</v>
      </c>
      <c r="L100" t="s">
        <v>195</v>
      </c>
      <c r="M100">
        <f t="shared" ca="1" si="81"/>
        <v>3.0285471104903832</v>
      </c>
      <c r="N100">
        <f t="shared" ca="1" si="82"/>
        <v>3.0328619776045245</v>
      </c>
      <c r="O100">
        <f t="shared" ca="1" si="43"/>
        <v>3.4312298066351783</v>
      </c>
      <c r="P100">
        <f t="shared" ca="1" si="44"/>
        <v>3.6427794022018367</v>
      </c>
      <c r="Q100">
        <f t="shared" ca="1" si="45"/>
        <v>2.3809415177557418</v>
      </c>
      <c r="R100">
        <f t="shared" ca="1" si="46"/>
        <v>3.557652187268765</v>
      </c>
      <c r="S100">
        <f t="shared" ca="1" si="47"/>
        <v>2.2436094820330501</v>
      </c>
      <c r="T100">
        <f t="shared" ca="1" si="48"/>
        <v>3.123486705898304</v>
      </c>
      <c r="U100">
        <f t="shared" ca="1" si="49"/>
        <v>4.2975911068601196</v>
      </c>
      <c r="V100">
        <f t="shared" ca="1" si="50"/>
        <v>3.0167606732800771</v>
      </c>
      <c r="W100">
        <f t="shared" ca="1" si="51"/>
        <v>2.3358451607124535</v>
      </c>
      <c r="X100">
        <f t="shared" ca="1" si="52"/>
        <v>2.393938183006616</v>
      </c>
      <c r="Y100">
        <f t="shared" ca="1" si="53"/>
        <v>2.6897134583749418</v>
      </c>
      <c r="Z100">
        <f t="shared" ca="1" si="54"/>
        <v>3.5725384104807549</v>
      </c>
      <c r="AA100">
        <f t="shared" ca="1" si="55"/>
        <v>2.9578497538889028</v>
      </c>
      <c r="AB100">
        <f t="shared" ca="1" si="56"/>
        <v>2.4487063070739516</v>
      </c>
      <c r="AC100">
        <f t="shared" ca="1" si="57"/>
        <v>2.111624195317797</v>
      </c>
      <c r="AD100">
        <f t="shared" ca="1" si="58"/>
        <v>1.857333944864406</v>
      </c>
      <c r="AE100">
        <f t="shared" ca="1" si="59"/>
        <v>1.8764217414657229</v>
      </c>
      <c r="AF100">
        <f t="shared" ca="1" si="60"/>
        <v>2.3282683371215152</v>
      </c>
      <c r="AG100">
        <f t="shared" ca="1" si="61"/>
        <v>2.6416222476534417</v>
      </c>
      <c r="AH100">
        <f t="shared" ca="1" si="62"/>
        <v>2.5694332579157555</v>
      </c>
      <c r="AI100">
        <f t="shared" ca="1" si="63"/>
        <v>5.534663314278605</v>
      </c>
      <c r="AJ100">
        <f t="shared" ca="1" si="64"/>
        <v>3.032263997663506</v>
      </c>
      <c r="AK100">
        <f t="shared" ca="1" si="65"/>
        <v>2.2666555309311178</v>
      </c>
      <c r="AL100">
        <f t="shared" ca="1" si="66"/>
        <v>4.0744976650872475</v>
      </c>
      <c r="AM100">
        <f t="shared" ca="1" si="67"/>
        <v>3.6477784324285616</v>
      </c>
      <c r="AN100">
        <f t="shared" ca="1" si="68"/>
        <v>3.1908518076955956</v>
      </c>
      <c r="AO100">
        <f t="shared" ca="1" si="69"/>
        <v>2.8580142628216105</v>
      </c>
      <c r="AP100">
        <f t="shared" ca="1" si="70"/>
        <v>2.4194443363598155</v>
      </c>
      <c r="AQ100">
        <f t="shared" ca="1" si="71"/>
        <v>3.5915600555982343</v>
      </c>
      <c r="AR100">
        <f t="shared" ca="1" si="72"/>
        <v>2.4727339465345399</v>
      </c>
      <c r="AS100">
        <f t="shared" ca="1" si="73"/>
        <v>3.8069526498086774</v>
      </c>
      <c r="AT100">
        <f t="shared" ca="1" si="74"/>
        <v>3.1477551670247541</v>
      </c>
      <c r="AU100">
        <f t="shared" ca="1" si="75"/>
        <v>3.8028254355010547</v>
      </c>
      <c r="AV100">
        <f t="shared" ca="1" si="76"/>
        <v>3.8160830831177028</v>
      </c>
      <c r="AW100">
        <f t="shared" ca="1" si="77"/>
        <v>2.7384835873868361</v>
      </c>
      <c r="AX100">
        <f t="shared" ca="1" si="78"/>
        <v>3.1065848420785063</v>
      </c>
      <c r="AY100">
        <f t="shared" ca="1" si="79"/>
        <v>2.2602382373255949</v>
      </c>
      <c r="AZ100">
        <f t="shared" ca="1" si="80"/>
        <v>3.857010507930632</v>
      </c>
    </row>
    <row r="101" spans="2:52" x14ac:dyDescent="0.35">
      <c r="B101" s="3">
        <v>45834</v>
      </c>
      <c r="C101" s="4">
        <v>309.5</v>
      </c>
      <c r="D101">
        <f t="shared" si="42"/>
        <v>2.7501630596237711E-3</v>
      </c>
      <c r="L101" t="s">
        <v>196</v>
      </c>
      <c r="M101">
        <f t="shared" ca="1" si="81"/>
        <v>2.9595917298055969</v>
      </c>
      <c r="N101">
        <f t="shared" ca="1" si="82"/>
        <v>3.0300873163348809</v>
      </c>
      <c r="O101">
        <f t="shared" ca="1" si="43"/>
        <v>3.3663496803009747</v>
      </c>
      <c r="P101">
        <f t="shared" ca="1" si="44"/>
        <v>3.5344519575246744</v>
      </c>
      <c r="Q101">
        <f t="shared" ca="1" si="45"/>
        <v>2.4350286126671841</v>
      </c>
      <c r="R101">
        <f t="shared" ca="1" si="46"/>
        <v>3.4376454202509503</v>
      </c>
      <c r="S101">
        <f t="shared" ca="1" si="47"/>
        <v>2.2894935886111498</v>
      </c>
      <c r="T101">
        <f t="shared" ca="1" si="48"/>
        <v>3.2098577142788201</v>
      </c>
      <c r="U101">
        <f t="shared" ca="1" si="49"/>
        <v>4.1203989366378408</v>
      </c>
      <c r="V101">
        <f t="shared" ca="1" si="50"/>
        <v>3.0392090571797428</v>
      </c>
      <c r="W101">
        <f t="shared" ca="1" si="51"/>
        <v>2.3346401231695935</v>
      </c>
      <c r="X101">
        <f t="shared" ca="1" si="52"/>
        <v>2.3862249894819754</v>
      </c>
      <c r="Y101">
        <f t="shared" ca="1" si="53"/>
        <v>2.7703777421201581</v>
      </c>
      <c r="Z101">
        <f t="shared" ca="1" si="54"/>
        <v>3.5468126725425115</v>
      </c>
      <c r="AA101">
        <f t="shared" ca="1" si="55"/>
        <v>2.8508335365620958</v>
      </c>
      <c r="AB101">
        <f t="shared" ca="1" si="56"/>
        <v>2.3562090607994501</v>
      </c>
      <c r="AC101">
        <f t="shared" ca="1" si="57"/>
        <v>2.1009233359821953</v>
      </c>
      <c r="AD101">
        <f t="shared" ca="1" si="58"/>
        <v>1.8136430324257868</v>
      </c>
      <c r="AE101">
        <f t="shared" ca="1" si="59"/>
        <v>1.8648590539544116</v>
      </c>
      <c r="AF101">
        <f t="shared" ca="1" si="60"/>
        <v>2.2616336318518941</v>
      </c>
      <c r="AG101">
        <f t="shared" ca="1" si="61"/>
        <v>2.5423807815893844</v>
      </c>
      <c r="AH101">
        <f t="shared" ca="1" si="62"/>
        <v>2.5239378993198542</v>
      </c>
      <c r="AI101">
        <f t="shared" ca="1" si="63"/>
        <v>5.336021668330436</v>
      </c>
      <c r="AJ101">
        <f t="shared" ca="1" si="64"/>
        <v>2.9851364824361384</v>
      </c>
      <c r="AK101">
        <f t="shared" ca="1" si="65"/>
        <v>2.3030251682262608</v>
      </c>
      <c r="AL101">
        <f t="shared" ca="1" si="66"/>
        <v>4.131303247140103</v>
      </c>
      <c r="AM101">
        <f t="shared" ca="1" si="67"/>
        <v>3.5049600911185346</v>
      </c>
      <c r="AN101">
        <f t="shared" ca="1" si="68"/>
        <v>3.1256274227216667</v>
      </c>
      <c r="AO101">
        <f t="shared" ca="1" si="69"/>
        <v>2.9312443268575468</v>
      </c>
      <c r="AP101">
        <f t="shared" ca="1" si="70"/>
        <v>2.3754865856622729</v>
      </c>
      <c r="AQ101">
        <f t="shared" ca="1" si="71"/>
        <v>3.5476325770964281</v>
      </c>
      <c r="AR101">
        <f t="shared" ca="1" si="72"/>
        <v>2.5464976234644818</v>
      </c>
      <c r="AS101">
        <f t="shared" ca="1" si="73"/>
        <v>3.8973786465319677</v>
      </c>
      <c r="AT101">
        <f t="shared" ca="1" si="74"/>
        <v>3.1280709665896089</v>
      </c>
      <c r="AU101">
        <f t="shared" ca="1" si="75"/>
        <v>3.7528349303929809</v>
      </c>
      <c r="AV101">
        <f t="shared" ca="1" si="76"/>
        <v>3.8137106799001534</v>
      </c>
      <c r="AW101">
        <f t="shared" ca="1" si="77"/>
        <v>2.7112669313761555</v>
      </c>
      <c r="AX101">
        <f t="shared" ca="1" si="78"/>
        <v>3.2065906124718597</v>
      </c>
      <c r="AY101">
        <f t="shared" ca="1" si="79"/>
        <v>2.2733139832344498</v>
      </c>
      <c r="AZ101">
        <f t="shared" ca="1" si="80"/>
        <v>3.848795758150716</v>
      </c>
    </row>
    <row r="102" spans="2:52" x14ac:dyDescent="0.35">
      <c r="B102" s="3">
        <v>45835</v>
      </c>
      <c r="C102" s="4">
        <v>309.89999389648398</v>
      </c>
      <c r="D102">
        <f t="shared" si="42"/>
        <v>1.2915529739370353E-3</v>
      </c>
      <c r="L102" t="s">
        <v>197</v>
      </c>
      <c r="M102">
        <f t="shared" ca="1" si="81"/>
        <v>3.0144977662322843</v>
      </c>
      <c r="N102">
        <f t="shared" ca="1" si="82"/>
        <v>2.9816454338866039</v>
      </c>
      <c r="O102">
        <f t="shared" ca="1" si="43"/>
        <v>3.4127290067211273</v>
      </c>
      <c r="P102">
        <f t="shared" ca="1" si="44"/>
        <v>3.3751757442391237</v>
      </c>
      <c r="Q102">
        <f t="shared" ca="1" si="45"/>
        <v>2.3862525082301249</v>
      </c>
      <c r="R102">
        <f t="shared" ca="1" si="46"/>
        <v>3.4878231955462002</v>
      </c>
      <c r="S102">
        <f t="shared" ca="1" si="47"/>
        <v>2.4384805556034879</v>
      </c>
      <c r="T102">
        <f t="shared" ca="1" si="48"/>
        <v>3.2638848955635766</v>
      </c>
      <c r="U102">
        <f t="shared" ca="1" si="49"/>
        <v>4.2280857506196829</v>
      </c>
      <c r="V102">
        <f t="shared" ca="1" si="50"/>
        <v>3.0248533728621396</v>
      </c>
      <c r="W102">
        <f t="shared" ca="1" si="51"/>
        <v>2.4114722772220936</v>
      </c>
      <c r="X102">
        <f t="shared" ca="1" si="52"/>
        <v>2.4429312624925115</v>
      </c>
      <c r="Y102">
        <f t="shared" ca="1" si="53"/>
        <v>2.8658624145333991</v>
      </c>
      <c r="Z102">
        <f t="shared" ca="1" si="54"/>
        <v>3.5543769565350707</v>
      </c>
      <c r="AA102">
        <f t="shared" ca="1" si="55"/>
        <v>2.8656796105628808</v>
      </c>
      <c r="AB102">
        <f t="shared" ca="1" si="56"/>
        <v>2.3643376513070065</v>
      </c>
      <c r="AC102">
        <f t="shared" ca="1" si="57"/>
        <v>2.0755111539418385</v>
      </c>
      <c r="AD102">
        <f t="shared" ca="1" si="58"/>
        <v>1.8739515757128835</v>
      </c>
      <c r="AE102">
        <f t="shared" ca="1" si="59"/>
        <v>1.8682791938879229</v>
      </c>
      <c r="AF102">
        <f t="shared" ca="1" si="60"/>
        <v>2.287826761689876</v>
      </c>
      <c r="AG102">
        <f t="shared" ca="1" si="61"/>
        <v>2.6040813661281526</v>
      </c>
      <c r="AH102">
        <f t="shared" ca="1" si="62"/>
        <v>2.4761356716622345</v>
      </c>
      <c r="AI102">
        <f t="shared" ca="1" si="63"/>
        <v>5.4389128107556202</v>
      </c>
      <c r="AJ102">
        <f t="shared" ca="1" si="64"/>
        <v>2.9200037835731063</v>
      </c>
      <c r="AK102">
        <f t="shared" ca="1" si="65"/>
        <v>2.289172575594467</v>
      </c>
      <c r="AL102">
        <f t="shared" ca="1" si="66"/>
        <v>4.085403065180099</v>
      </c>
      <c r="AM102">
        <f t="shared" ca="1" si="67"/>
        <v>3.5658625186559405</v>
      </c>
      <c r="AN102">
        <f t="shared" ca="1" si="68"/>
        <v>3.0231531684546273</v>
      </c>
      <c r="AO102">
        <f t="shared" ca="1" si="69"/>
        <v>2.8666609242378138</v>
      </c>
      <c r="AP102">
        <f t="shared" ca="1" si="70"/>
        <v>2.4017572302920605</v>
      </c>
      <c r="AQ102">
        <f t="shared" ca="1" si="71"/>
        <v>3.594475197077093</v>
      </c>
      <c r="AR102">
        <f t="shared" ca="1" si="72"/>
        <v>2.5500279012312705</v>
      </c>
      <c r="AS102">
        <f t="shared" ca="1" si="73"/>
        <v>3.9129318303550154</v>
      </c>
      <c r="AT102">
        <f t="shared" ca="1" si="74"/>
        <v>3.1090102321376949</v>
      </c>
      <c r="AU102">
        <f t="shared" ca="1" si="75"/>
        <v>3.7637120673657085</v>
      </c>
      <c r="AV102">
        <f t="shared" ca="1" si="76"/>
        <v>3.7731222676608982</v>
      </c>
      <c r="AW102">
        <f t="shared" ca="1" si="77"/>
        <v>2.7037615005150428</v>
      </c>
      <c r="AX102">
        <f t="shared" ca="1" si="78"/>
        <v>3.2638439856554795</v>
      </c>
      <c r="AY102">
        <f t="shared" ca="1" si="79"/>
        <v>2.2845041060862163</v>
      </c>
      <c r="AZ102">
        <f t="shared" ca="1" si="80"/>
        <v>3.7403571063436374</v>
      </c>
    </row>
    <row r="103" spans="2:52" x14ac:dyDescent="0.35">
      <c r="B103" s="3">
        <v>45838</v>
      </c>
      <c r="C103" s="4">
        <v>306.75</v>
      </c>
      <c r="D103">
        <f t="shared" si="42"/>
        <v>-1.0216561507566968E-2</v>
      </c>
      <c r="L103" t="s">
        <v>198</v>
      </c>
      <c r="M103">
        <f t="shared" ca="1" si="81"/>
        <v>3.0719933112829079</v>
      </c>
      <c r="N103">
        <f t="shared" ca="1" si="82"/>
        <v>3.0048961978794115</v>
      </c>
      <c r="O103">
        <f t="shared" ca="1" si="43"/>
        <v>3.4454258500905777</v>
      </c>
      <c r="P103">
        <f t="shared" ca="1" si="44"/>
        <v>3.5209350042663163</v>
      </c>
      <c r="Q103">
        <f t="shared" ca="1" si="45"/>
        <v>2.3501866052891494</v>
      </c>
      <c r="R103">
        <f t="shared" ca="1" si="46"/>
        <v>3.3254490036302435</v>
      </c>
      <c r="S103">
        <f t="shared" ca="1" si="47"/>
        <v>2.4320799734575971</v>
      </c>
      <c r="T103">
        <f t="shared" ca="1" si="48"/>
        <v>3.3834030231413763</v>
      </c>
      <c r="U103">
        <f t="shared" ca="1" si="49"/>
        <v>4.1030462894200666</v>
      </c>
      <c r="V103">
        <f t="shared" ca="1" si="50"/>
        <v>3.1038383946721892</v>
      </c>
      <c r="W103">
        <f t="shared" ca="1" si="51"/>
        <v>2.4159232500607635</v>
      </c>
      <c r="X103">
        <f t="shared" ca="1" si="52"/>
        <v>2.4598551245943554</v>
      </c>
      <c r="Y103">
        <f t="shared" ca="1" si="53"/>
        <v>2.6750173843631204</v>
      </c>
      <c r="Z103">
        <f t="shared" ca="1" si="54"/>
        <v>3.4778750460848809</v>
      </c>
      <c r="AA103">
        <f t="shared" ca="1" si="55"/>
        <v>2.7629999037959965</v>
      </c>
      <c r="AB103">
        <f t="shared" ca="1" si="56"/>
        <v>2.3087075779890336</v>
      </c>
      <c r="AC103">
        <f t="shared" ca="1" si="57"/>
        <v>2.0742622881818047</v>
      </c>
      <c r="AD103">
        <f t="shared" ca="1" si="58"/>
        <v>1.9084102582115727</v>
      </c>
      <c r="AE103">
        <f t="shared" ca="1" si="59"/>
        <v>1.8016420611128472</v>
      </c>
      <c r="AF103">
        <f t="shared" ca="1" si="60"/>
        <v>2.301215433201043</v>
      </c>
      <c r="AG103">
        <f t="shared" ca="1" si="61"/>
        <v>2.5601801810176532</v>
      </c>
      <c r="AH103">
        <f t="shared" ca="1" si="62"/>
        <v>2.4763679122276243</v>
      </c>
      <c r="AI103">
        <f t="shared" ca="1" si="63"/>
        <v>5.5434442589704771</v>
      </c>
      <c r="AJ103">
        <f t="shared" ca="1" si="64"/>
        <v>2.9347848172759137</v>
      </c>
      <c r="AK103">
        <f t="shared" ca="1" si="65"/>
        <v>2.3202446416978386</v>
      </c>
      <c r="AL103">
        <f t="shared" ca="1" si="66"/>
        <v>4.1626085368962844</v>
      </c>
      <c r="AM103">
        <f t="shared" ca="1" si="67"/>
        <v>3.4910127449836743</v>
      </c>
      <c r="AN103">
        <f t="shared" ca="1" si="68"/>
        <v>2.9315832221846452</v>
      </c>
      <c r="AO103">
        <f t="shared" ca="1" si="69"/>
        <v>2.7216638248551042</v>
      </c>
      <c r="AP103">
        <f t="shared" ca="1" si="70"/>
        <v>2.4402998233073268</v>
      </c>
      <c r="AQ103">
        <f t="shared" ca="1" si="71"/>
        <v>3.5678814023869192</v>
      </c>
      <c r="AR103">
        <f t="shared" ca="1" si="72"/>
        <v>2.5201079113715927</v>
      </c>
      <c r="AS103">
        <f t="shared" ca="1" si="73"/>
        <v>4.0812335012435845</v>
      </c>
      <c r="AT103">
        <f t="shared" ca="1" si="74"/>
        <v>3.0932851157473027</v>
      </c>
      <c r="AU103">
        <f t="shared" ca="1" si="75"/>
        <v>3.7423090311761409</v>
      </c>
      <c r="AV103">
        <f t="shared" ca="1" si="76"/>
        <v>3.7193336027800141</v>
      </c>
      <c r="AW103">
        <f t="shared" ca="1" si="77"/>
        <v>2.5805537362880813</v>
      </c>
      <c r="AX103">
        <f t="shared" ca="1" si="78"/>
        <v>3.2376771221858678</v>
      </c>
      <c r="AY103">
        <f t="shared" ca="1" si="79"/>
        <v>2.3196432741605495</v>
      </c>
      <c r="AZ103">
        <f t="shared" ca="1" si="80"/>
        <v>3.7850857230152521</v>
      </c>
    </row>
    <row r="104" spans="2:52" x14ac:dyDescent="0.35">
      <c r="B104" s="3">
        <v>45839</v>
      </c>
      <c r="C104" s="4">
        <v>298.850006103515</v>
      </c>
      <c r="D104">
        <f t="shared" si="42"/>
        <v>-2.6091287897418387E-2</v>
      </c>
      <c r="L104" t="s">
        <v>199</v>
      </c>
      <c r="M104">
        <f t="shared" ca="1" si="81"/>
        <v>2.9642960029065004</v>
      </c>
      <c r="N104">
        <f t="shared" ca="1" si="82"/>
        <v>3.0175861730699864</v>
      </c>
      <c r="O104">
        <f t="shared" ca="1" si="43"/>
        <v>3.5049952990859019</v>
      </c>
      <c r="P104">
        <f t="shared" ca="1" si="44"/>
        <v>3.5248910858795348</v>
      </c>
      <c r="Q104">
        <f t="shared" ca="1" si="45"/>
        <v>2.3990456270489955</v>
      </c>
      <c r="R104">
        <f t="shared" ca="1" si="46"/>
        <v>3.4040719562927855</v>
      </c>
      <c r="S104">
        <f t="shared" ca="1" si="47"/>
        <v>2.4678321143660558</v>
      </c>
      <c r="T104">
        <f t="shared" ca="1" si="48"/>
        <v>3.3968797245379423</v>
      </c>
      <c r="U104">
        <f t="shared" ca="1" si="49"/>
        <v>4.0296522361791007</v>
      </c>
      <c r="V104">
        <f t="shared" ca="1" si="50"/>
        <v>3.061039939680978</v>
      </c>
      <c r="W104">
        <f t="shared" ca="1" si="51"/>
        <v>2.3519638387224764</v>
      </c>
      <c r="X104">
        <f t="shared" ca="1" si="52"/>
        <v>2.6179487740532688</v>
      </c>
      <c r="Y104">
        <f t="shared" ca="1" si="53"/>
        <v>2.7299308381145964</v>
      </c>
      <c r="Z104">
        <f t="shared" ca="1" si="54"/>
        <v>3.4473073906738092</v>
      </c>
      <c r="AA104">
        <f t="shared" ca="1" si="55"/>
        <v>2.8019600135630198</v>
      </c>
      <c r="AB104">
        <f t="shared" ca="1" si="56"/>
        <v>2.3600319121580067</v>
      </c>
      <c r="AC104">
        <f t="shared" ca="1" si="57"/>
        <v>2.0427780682123577</v>
      </c>
      <c r="AD104">
        <f t="shared" ca="1" si="58"/>
        <v>1.9372006102962847</v>
      </c>
      <c r="AE104">
        <f t="shared" ca="1" si="59"/>
        <v>1.7573843430007341</v>
      </c>
      <c r="AF104">
        <f t="shared" ca="1" si="60"/>
        <v>2.4271757884499383</v>
      </c>
      <c r="AG104">
        <f t="shared" ca="1" si="61"/>
        <v>2.6288475987947098</v>
      </c>
      <c r="AH104">
        <f t="shared" ca="1" si="62"/>
        <v>2.4588475633035389</v>
      </c>
      <c r="AI104">
        <f t="shared" ca="1" si="63"/>
        <v>5.6776165275136643</v>
      </c>
      <c r="AJ104">
        <f t="shared" ca="1" si="64"/>
        <v>2.8353907070876061</v>
      </c>
      <c r="AK104">
        <f t="shared" ca="1" si="65"/>
        <v>2.2764747296187267</v>
      </c>
      <c r="AL104">
        <f t="shared" ca="1" si="66"/>
        <v>4.1161606979247347</v>
      </c>
      <c r="AM104">
        <f t="shared" ca="1" si="67"/>
        <v>3.6941900073540341</v>
      </c>
      <c r="AN104">
        <f t="shared" ca="1" si="68"/>
        <v>2.9842504784171044</v>
      </c>
      <c r="AO104">
        <f t="shared" ca="1" si="69"/>
        <v>2.7035612585917193</v>
      </c>
      <c r="AP104">
        <f t="shared" ca="1" si="70"/>
        <v>2.4135432259793475</v>
      </c>
      <c r="AQ104">
        <f t="shared" ca="1" si="71"/>
        <v>3.5072600688911031</v>
      </c>
      <c r="AR104">
        <f t="shared" ca="1" si="72"/>
        <v>2.5987457435450878</v>
      </c>
      <c r="AS104">
        <f t="shared" ca="1" si="73"/>
        <v>3.9485679206852855</v>
      </c>
      <c r="AT104">
        <f t="shared" ca="1" si="74"/>
        <v>3.1917907657467612</v>
      </c>
      <c r="AU104">
        <f t="shared" ca="1" si="75"/>
        <v>3.7158740496943525</v>
      </c>
      <c r="AV104">
        <f t="shared" ca="1" si="76"/>
        <v>3.6608350945074211</v>
      </c>
      <c r="AW104">
        <f t="shared" ca="1" si="77"/>
        <v>2.6000730293512588</v>
      </c>
      <c r="AX104">
        <f t="shared" ca="1" si="78"/>
        <v>3.2711630897292037</v>
      </c>
      <c r="AY104">
        <f t="shared" ca="1" si="79"/>
        <v>2.3977445564888646</v>
      </c>
      <c r="AZ104">
        <f t="shared" ca="1" si="80"/>
        <v>3.8420854059573428</v>
      </c>
    </row>
    <row r="105" spans="2:52" x14ac:dyDescent="0.35">
      <c r="B105" s="3">
        <v>45840</v>
      </c>
      <c r="C105" s="4">
        <v>297.95001220703102</v>
      </c>
      <c r="D105">
        <f t="shared" si="42"/>
        <v>-3.0160675305498153E-3</v>
      </c>
      <c r="L105" t="s">
        <v>200</v>
      </c>
      <c r="M105">
        <f t="shared" ca="1" si="81"/>
        <v>2.9064797120688453</v>
      </c>
      <c r="N105">
        <f t="shared" ca="1" si="82"/>
        <v>3.0847645254982798</v>
      </c>
      <c r="O105">
        <f t="shared" ca="1" si="43"/>
        <v>3.4775835580155423</v>
      </c>
      <c r="P105">
        <f t="shared" ca="1" si="44"/>
        <v>3.6133714676715289</v>
      </c>
      <c r="Q105">
        <f t="shared" ca="1" si="45"/>
        <v>2.3911489140366058</v>
      </c>
      <c r="R105">
        <f t="shared" ca="1" si="46"/>
        <v>3.2257922785871975</v>
      </c>
      <c r="S105">
        <f t="shared" ca="1" si="47"/>
        <v>2.4889615351856671</v>
      </c>
      <c r="T105">
        <f t="shared" ca="1" si="48"/>
        <v>3.3200322871491141</v>
      </c>
      <c r="U105">
        <f t="shared" ca="1" si="49"/>
        <v>4.0014007145581934</v>
      </c>
      <c r="V105">
        <f t="shared" ca="1" si="50"/>
        <v>2.9611425665647353</v>
      </c>
      <c r="W105">
        <f t="shared" ca="1" si="51"/>
        <v>2.3138173955043726</v>
      </c>
      <c r="X105">
        <f t="shared" ca="1" si="52"/>
        <v>2.5763553286890497</v>
      </c>
      <c r="Y105">
        <f t="shared" ca="1" si="53"/>
        <v>2.7547461819032613</v>
      </c>
      <c r="Z105">
        <f t="shared" ca="1" si="54"/>
        <v>3.4383164285602752</v>
      </c>
      <c r="AA105">
        <f t="shared" ca="1" si="55"/>
        <v>2.8309810468331222</v>
      </c>
      <c r="AB105">
        <f t="shared" ca="1" si="56"/>
        <v>2.3592753529271406</v>
      </c>
      <c r="AC105">
        <f t="shared" ca="1" si="57"/>
        <v>2.0512413394999567</v>
      </c>
      <c r="AD105">
        <f t="shared" ca="1" si="58"/>
        <v>1.8912854746395278</v>
      </c>
      <c r="AE105">
        <f t="shared" ca="1" si="59"/>
        <v>1.8181040771966515</v>
      </c>
      <c r="AF105">
        <f t="shared" ca="1" si="60"/>
        <v>2.3738248688836512</v>
      </c>
      <c r="AG105">
        <f t="shared" ca="1" si="61"/>
        <v>2.7641785388375624</v>
      </c>
      <c r="AH105">
        <f t="shared" ca="1" si="62"/>
        <v>2.4243480744367312</v>
      </c>
      <c r="AI105">
        <f t="shared" ca="1" si="63"/>
        <v>5.4301856481619613</v>
      </c>
      <c r="AJ105">
        <f t="shared" ca="1" si="64"/>
        <v>2.7824152870367098</v>
      </c>
      <c r="AK105">
        <f t="shared" ca="1" si="65"/>
        <v>2.2934805137166543</v>
      </c>
      <c r="AL105">
        <f t="shared" ca="1" si="66"/>
        <v>3.8295021281912756</v>
      </c>
      <c r="AM105">
        <f t="shared" ca="1" si="67"/>
        <v>3.7314141543084882</v>
      </c>
      <c r="AN105">
        <f t="shared" ca="1" si="68"/>
        <v>2.9346670557254209</v>
      </c>
      <c r="AO105">
        <f t="shared" ca="1" si="69"/>
        <v>2.6498894190088929</v>
      </c>
      <c r="AP105">
        <f t="shared" ca="1" si="70"/>
        <v>2.47472863351032</v>
      </c>
      <c r="AQ105">
        <f t="shared" ca="1" si="71"/>
        <v>3.4605185681983976</v>
      </c>
      <c r="AR105">
        <f t="shared" ca="1" si="72"/>
        <v>2.677607265561007</v>
      </c>
      <c r="AS105">
        <f t="shared" ca="1" si="73"/>
        <v>3.9386354730771069</v>
      </c>
      <c r="AT105">
        <f t="shared" ca="1" si="74"/>
        <v>3.1853790606221515</v>
      </c>
      <c r="AU105">
        <f t="shared" ca="1" si="75"/>
        <v>3.819659559926837</v>
      </c>
      <c r="AV105">
        <f t="shared" ca="1" si="76"/>
        <v>3.7240843236778227</v>
      </c>
      <c r="AW105">
        <f t="shared" ca="1" si="77"/>
        <v>2.5898302361446897</v>
      </c>
      <c r="AX105">
        <f t="shared" ca="1" si="78"/>
        <v>3.2614568701546474</v>
      </c>
      <c r="AY105">
        <f t="shared" ca="1" si="79"/>
        <v>2.4047937886785382</v>
      </c>
      <c r="AZ105">
        <f t="shared" ca="1" si="80"/>
        <v>3.8823331812810657</v>
      </c>
    </row>
    <row r="106" spans="2:52" x14ac:dyDescent="0.35">
      <c r="B106" s="3">
        <v>45841</v>
      </c>
      <c r="C106" s="4">
        <v>292.64999389648398</v>
      </c>
      <c r="D106">
        <f t="shared" si="42"/>
        <v>-1.7948393281848996E-2</v>
      </c>
      <c r="L106" t="s">
        <v>201</v>
      </c>
      <c r="M106">
        <f t="shared" ca="1" si="81"/>
        <v>2.8969151984182986</v>
      </c>
      <c r="N106">
        <f t="shared" ca="1" si="82"/>
        <v>3.1782163836466126</v>
      </c>
      <c r="O106">
        <f t="shared" ca="1" si="43"/>
        <v>3.5521375756382207</v>
      </c>
      <c r="P106">
        <f t="shared" ca="1" si="44"/>
        <v>3.7634327799494707</v>
      </c>
      <c r="Q106">
        <f t="shared" ca="1" si="45"/>
        <v>2.3533479186153228</v>
      </c>
      <c r="R106">
        <f t="shared" ca="1" si="46"/>
        <v>3.1686582762989683</v>
      </c>
      <c r="S106">
        <f t="shared" ca="1" si="47"/>
        <v>2.5119698379060433</v>
      </c>
      <c r="T106">
        <f t="shared" ca="1" si="48"/>
        <v>3.5176795615314886</v>
      </c>
      <c r="U106">
        <f t="shared" ca="1" si="49"/>
        <v>4.0406861419704816</v>
      </c>
      <c r="V106">
        <f t="shared" ca="1" si="50"/>
        <v>3.0004980666457786</v>
      </c>
      <c r="W106">
        <f t="shared" ca="1" si="51"/>
        <v>2.3028966709175767</v>
      </c>
      <c r="X106">
        <f t="shared" ca="1" si="52"/>
        <v>2.5973046426210673</v>
      </c>
      <c r="Y106">
        <f t="shared" ca="1" si="53"/>
        <v>2.7077659662717166</v>
      </c>
      <c r="Z106">
        <f t="shared" ca="1" si="54"/>
        <v>3.4317869082310581</v>
      </c>
      <c r="AA106">
        <f t="shared" ca="1" si="55"/>
        <v>2.8383481337247636</v>
      </c>
      <c r="AB106">
        <f t="shared" ca="1" si="56"/>
        <v>2.4077427564839113</v>
      </c>
      <c r="AC106">
        <f t="shared" ca="1" si="57"/>
        <v>2.0270089130244235</v>
      </c>
      <c r="AD106">
        <f t="shared" ca="1" si="58"/>
        <v>1.8882111796188679</v>
      </c>
      <c r="AE106">
        <f t="shared" ca="1" si="59"/>
        <v>1.815946966018996</v>
      </c>
      <c r="AF106">
        <f t="shared" ca="1" si="60"/>
        <v>2.3558969283177253</v>
      </c>
      <c r="AG106">
        <f t="shared" ca="1" si="61"/>
        <v>2.7499248648948011</v>
      </c>
      <c r="AH106">
        <f t="shared" ca="1" si="62"/>
        <v>2.3474955486658593</v>
      </c>
      <c r="AI106">
        <f t="shared" ca="1" si="63"/>
        <v>5.1825885377706067</v>
      </c>
      <c r="AJ106">
        <f t="shared" ca="1" si="64"/>
        <v>2.8657958823730074</v>
      </c>
      <c r="AK106">
        <f t="shared" ca="1" si="65"/>
        <v>2.326515393156444</v>
      </c>
      <c r="AL106">
        <f t="shared" ca="1" si="66"/>
        <v>3.7795517927252535</v>
      </c>
      <c r="AM106">
        <f t="shared" ca="1" si="67"/>
        <v>3.6770607180799848</v>
      </c>
      <c r="AN106">
        <f t="shared" ca="1" si="68"/>
        <v>2.8834308932611288</v>
      </c>
      <c r="AO106">
        <f t="shared" ca="1" si="69"/>
        <v>2.6044580531451604</v>
      </c>
      <c r="AP106">
        <f t="shared" ca="1" si="70"/>
        <v>2.5170474465471924</v>
      </c>
      <c r="AQ106">
        <f t="shared" ca="1" si="71"/>
        <v>3.5593426268337338</v>
      </c>
      <c r="AR106">
        <f t="shared" ca="1" si="72"/>
        <v>2.7945360711371845</v>
      </c>
      <c r="AS106">
        <f t="shared" ca="1" si="73"/>
        <v>3.8917918130951366</v>
      </c>
      <c r="AT106">
        <f t="shared" ca="1" si="74"/>
        <v>3.224832534503403</v>
      </c>
      <c r="AU106">
        <f t="shared" ca="1" si="75"/>
        <v>3.9737318542815236</v>
      </c>
      <c r="AV106">
        <f t="shared" ca="1" si="76"/>
        <v>3.5618288806874308</v>
      </c>
      <c r="AW106">
        <f t="shared" ca="1" si="77"/>
        <v>2.4906678921072016</v>
      </c>
      <c r="AX106">
        <f t="shared" ca="1" si="78"/>
        <v>3.2604960707170951</v>
      </c>
      <c r="AY106">
        <f t="shared" ca="1" si="79"/>
        <v>2.5541175843049455</v>
      </c>
      <c r="AZ106">
        <f t="shared" ca="1" si="80"/>
        <v>3.9094023958382884</v>
      </c>
    </row>
    <row r="107" spans="2:52" x14ac:dyDescent="0.35">
      <c r="B107" s="3">
        <v>45842</v>
      </c>
      <c r="C107" s="4">
        <v>292.64999389648398</v>
      </c>
      <c r="D107">
        <f t="shared" si="42"/>
        <v>0</v>
      </c>
      <c r="L107" t="s">
        <v>202</v>
      </c>
      <c r="M107">
        <f t="shared" ca="1" si="81"/>
        <v>2.918146998397269</v>
      </c>
      <c r="N107">
        <f t="shared" ca="1" si="82"/>
        <v>3.0693028656481465</v>
      </c>
      <c r="O107">
        <f t="shared" ca="1" si="43"/>
        <v>3.6433054315721001</v>
      </c>
      <c r="P107">
        <f t="shared" ca="1" si="44"/>
        <v>3.7996656704076845</v>
      </c>
      <c r="Q107">
        <f t="shared" ca="1" si="45"/>
        <v>2.3200086844154959</v>
      </c>
      <c r="R107">
        <f t="shared" ca="1" si="46"/>
        <v>3.2499049211723223</v>
      </c>
      <c r="S107">
        <f t="shared" ca="1" si="47"/>
        <v>2.5458775359701291</v>
      </c>
      <c r="T107">
        <f t="shared" ca="1" si="48"/>
        <v>3.5212667403189775</v>
      </c>
      <c r="U107">
        <f t="shared" ca="1" si="49"/>
        <v>4.1341880985519825</v>
      </c>
      <c r="V107">
        <f t="shared" ca="1" si="50"/>
        <v>2.9372262330239192</v>
      </c>
      <c r="W107">
        <f t="shared" ca="1" si="51"/>
        <v>2.3113356813144579</v>
      </c>
      <c r="X107">
        <f t="shared" ca="1" si="52"/>
        <v>2.5900930189614733</v>
      </c>
      <c r="Y107">
        <f t="shared" ca="1" si="53"/>
        <v>2.7235354699488057</v>
      </c>
      <c r="Z107">
        <f t="shared" ca="1" si="54"/>
        <v>3.4322397842500547</v>
      </c>
      <c r="AA107">
        <f t="shared" ca="1" si="55"/>
        <v>2.9412987132249797</v>
      </c>
      <c r="AB107">
        <f t="shared" ca="1" si="56"/>
        <v>2.470323289724643</v>
      </c>
      <c r="AC107">
        <f t="shared" ca="1" si="57"/>
        <v>2.0118732718797872</v>
      </c>
      <c r="AD107">
        <f t="shared" ca="1" si="58"/>
        <v>1.8439647972131037</v>
      </c>
      <c r="AE107">
        <f t="shared" ca="1" si="59"/>
        <v>1.8111225816406433</v>
      </c>
      <c r="AF107">
        <f t="shared" ca="1" si="60"/>
        <v>2.3327738091149604</v>
      </c>
      <c r="AG107">
        <f t="shared" ca="1" si="61"/>
        <v>2.7856319029601893</v>
      </c>
      <c r="AH107">
        <f t="shared" ca="1" si="62"/>
        <v>2.4295076831955491</v>
      </c>
      <c r="AI107">
        <f t="shared" ca="1" si="63"/>
        <v>5.1469951356130474</v>
      </c>
      <c r="AJ107">
        <f t="shared" ca="1" si="64"/>
        <v>2.9122218509340128</v>
      </c>
      <c r="AK107">
        <f t="shared" ca="1" si="65"/>
        <v>2.2860105555947055</v>
      </c>
      <c r="AL107">
        <f t="shared" ca="1" si="66"/>
        <v>3.6468512631242906</v>
      </c>
      <c r="AM107">
        <f t="shared" ca="1" si="67"/>
        <v>3.5983624565286125</v>
      </c>
      <c r="AN107">
        <f t="shared" ca="1" si="68"/>
        <v>2.7659951536944289</v>
      </c>
      <c r="AO107">
        <f t="shared" ca="1" si="69"/>
        <v>2.6872907273058422</v>
      </c>
      <c r="AP107">
        <f t="shared" ca="1" si="70"/>
        <v>2.5537311376273073</v>
      </c>
      <c r="AQ107">
        <f t="shared" ca="1" si="71"/>
        <v>3.5800310673314528</v>
      </c>
      <c r="AR107">
        <f t="shared" ca="1" si="72"/>
        <v>2.7615752275765422</v>
      </c>
      <c r="AS107">
        <f t="shared" ca="1" si="73"/>
        <v>3.8126183295615501</v>
      </c>
      <c r="AT107">
        <f t="shared" ca="1" si="74"/>
        <v>3.1877058050808498</v>
      </c>
      <c r="AU107">
        <f t="shared" ca="1" si="75"/>
        <v>4.0596216017568967</v>
      </c>
      <c r="AV107">
        <f t="shared" ca="1" si="76"/>
        <v>3.2764197302054714</v>
      </c>
      <c r="AW107">
        <f t="shared" ca="1" si="77"/>
        <v>2.5231605010566653</v>
      </c>
      <c r="AX107">
        <f t="shared" ca="1" si="78"/>
        <v>3.3840725605302091</v>
      </c>
      <c r="AY107">
        <f t="shared" ca="1" si="79"/>
        <v>2.5407879983147681</v>
      </c>
      <c r="AZ107">
        <f t="shared" ca="1" si="80"/>
        <v>4.0034179222023161</v>
      </c>
    </row>
    <row r="108" spans="2:52" x14ac:dyDescent="0.35">
      <c r="B108" s="3">
        <v>45845</v>
      </c>
      <c r="C108" s="4">
        <v>280.04998779296801</v>
      </c>
      <c r="D108">
        <f t="shared" si="42"/>
        <v>-4.4009219814122424E-2</v>
      </c>
      <c r="L108" t="s">
        <v>203</v>
      </c>
      <c r="M108">
        <f t="shared" ca="1" si="81"/>
        <v>2.9465267911541759</v>
      </c>
      <c r="N108">
        <f t="shared" ca="1" si="82"/>
        <v>3.109820190830376</v>
      </c>
      <c r="O108">
        <f t="shared" ca="1" si="43"/>
        <v>3.6423534681506005</v>
      </c>
      <c r="P108">
        <f t="shared" ca="1" si="44"/>
        <v>3.9087680412774604</v>
      </c>
      <c r="Q108">
        <f t="shared" ca="1" si="45"/>
        <v>2.3335528559855931</v>
      </c>
      <c r="R108">
        <f t="shared" ca="1" si="46"/>
        <v>3.3467292302511584</v>
      </c>
      <c r="S108">
        <f t="shared" ca="1" si="47"/>
        <v>2.4664679220778267</v>
      </c>
      <c r="T108">
        <f t="shared" ca="1" si="48"/>
        <v>3.6200613666839168</v>
      </c>
      <c r="U108">
        <f t="shared" ca="1" si="49"/>
        <v>4.2727489613293548</v>
      </c>
      <c r="V108">
        <f t="shared" ca="1" si="50"/>
        <v>2.9546844046982184</v>
      </c>
      <c r="W108">
        <f t="shared" ca="1" si="51"/>
        <v>2.2930876079215006</v>
      </c>
      <c r="X108">
        <f t="shared" ca="1" si="52"/>
        <v>2.5960474048304691</v>
      </c>
      <c r="Y108">
        <f t="shared" ca="1" si="53"/>
        <v>2.7776747986928778</v>
      </c>
      <c r="Z108">
        <f t="shared" ca="1" si="54"/>
        <v>3.5283449753656155</v>
      </c>
      <c r="AA108">
        <f t="shared" ca="1" si="55"/>
        <v>2.8928855914410407</v>
      </c>
      <c r="AB108">
        <f t="shared" ca="1" si="56"/>
        <v>2.4715917262006997</v>
      </c>
      <c r="AC108">
        <f t="shared" ca="1" si="57"/>
        <v>1.9950112442383134</v>
      </c>
      <c r="AD108">
        <f t="shared" ca="1" si="58"/>
        <v>1.7938821405904906</v>
      </c>
      <c r="AE108">
        <f t="shared" ca="1" si="59"/>
        <v>1.7445179886575011</v>
      </c>
      <c r="AF108">
        <f t="shared" ca="1" si="60"/>
        <v>2.2263260544122296</v>
      </c>
      <c r="AG108">
        <f t="shared" ca="1" si="61"/>
        <v>2.7360232657701098</v>
      </c>
      <c r="AH108">
        <f t="shared" ca="1" si="62"/>
        <v>2.3972120627533058</v>
      </c>
      <c r="AI108">
        <f t="shared" ca="1" si="63"/>
        <v>5.2689464228779448</v>
      </c>
      <c r="AJ108">
        <f t="shared" ca="1" si="64"/>
        <v>2.9343512019454554</v>
      </c>
      <c r="AK108">
        <f t="shared" ca="1" si="65"/>
        <v>2.2949824621907591</v>
      </c>
      <c r="AL108">
        <f t="shared" ca="1" si="66"/>
        <v>3.5435880012204297</v>
      </c>
      <c r="AM108">
        <f t="shared" ca="1" si="67"/>
        <v>3.6008462583843404</v>
      </c>
      <c r="AN108">
        <f t="shared" ca="1" si="68"/>
        <v>2.7388776647594208</v>
      </c>
      <c r="AO108">
        <f t="shared" ca="1" si="69"/>
        <v>2.617091031622476</v>
      </c>
      <c r="AP108">
        <f t="shared" ca="1" si="70"/>
        <v>2.5462586417727762</v>
      </c>
      <c r="AQ108">
        <f t="shared" ca="1" si="71"/>
        <v>3.647544273153005</v>
      </c>
      <c r="AR108">
        <f t="shared" ca="1" si="72"/>
        <v>2.7395487761015294</v>
      </c>
      <c r="AS108">
        <f t="shared" ca="1" si="73"/>
        <v>3.8080437903424382</v>
      </c>
      <c r="AT108">
        <f t="shared" ca="1" si="74"/>
        <v>3.1691361705619769</v>
      </c>
      <c r="AU108">
        <f t="shared" ca="1" si="75"/>
        <v>4.009032097525755</v>
      </c>
      <c r="AV108">
        <f t="shared" ca="1" si="76"/>
        <v>3.2757997372391756</v>
      </c>
      <c r="AW108">
        <f t="shared" ca="1" si="77"/>
        <v>2.6519558358404618</v>
      </c>
      <c r="AX108">
        <f t="shared" ca="1" si="78"/>
        <v>3.3793916959402948</v>
      </c>
      <c r="AY108">
        <f t="shared" ca="1" si="79"/>
        <v>2.6366715687164444</v>
      </c>
      <c r="AZ108">
        <f t="shared" ca="1" si="80"/>
        <v>3.9409502295638141</v>
      </c>
    </row>
    <row r="109" spans="2:52" x14ac:dyDescent="0.35">
      <c r="B109" s="3">
        <v>45846</v>
      </c>
      <c r="C109" s="4">
        <v>287.39999389648398</v>
      </c>
      <c r="D109">
        <f t="shared" si="42"/>
        <v>2.5906837340835369E-2</v>
      </c>
      <c r="L109" t="s">
        <v>204</v>
      </c>
      <c r="M109">
        <f t="shared" ca="1" si="81"/>
        <v>2.9384389609971437</v>
      </c>
      <c r="N109">
        <f t="shared" ca="1" si="82"/>
        <v>3.1172446069259614</v>
      </c>
      <c r="O109">
        <f t="shared" ca="1" si="43"/>
        <v>3.6171304532986772</v>
      </c>
      <c r="P109">
        <f t="shared" ca="1" si="44"/>
        <v>3.8344212900148356</v>
      </c>
      <c r="Q109">
        <f t="shared" ca="1" si="45"/>
        <v>2.3997645707166755</v>
      </c>
      <c r="R109">
        <f t="shared" ca="1" si="46"/>
        <v>3.1405071115188568</v>
      </c>
      <c r="S109">
        <f t="shared" ca="1" si="47"/>
        <v>2.419372534890162</v>
      </c>
      <c r="T109">
        <f t="shared" ca="1" si="48"/>
        <v>3.4580369821339598</v>
      </c>
      <c r="U109">
        <f t="shared" ca="1" si="49"/>
        <v>4.4671503002560096</v>
      </c>
      <c r="V109">
        <f t="shared" ca="1" si="50"/>
        <v>3.020494749389607</v>
      </c>
      <c r="W109">
        <f t="shared" ca="1" si="51"/>
        <v>2.2504460119368517</v>
      </c>
      <c r="X109">
        <f t="shared" ca="1" si="52"/>
        <v>2.6751316343065299</v>
      </c>
      <c r="Y109">
        <f t="shared" ca="1" si="53"/>
        <v>2.7779410887720721</v>
      </c>
      <c r="Z109">
        <f t="shared" ca="1" si="54"/>
        <v>3.5870246929528764</v>
      </c>
      <c r="AA109">
        <f t="shared" ca="1" si="55"/>
        <v>2.8375025217564604</v>
      </c>
      <c r="AB109">
        <f t="shared" ca="1" si="56"/>
        <v>2.3967019343411868</v>
      </c>
      <c r="AC109">
        <f t="shared" ca="1" si="57"/>
        <v>1.9915651380120138</v>
      </c>
      <c r="AD109">
        <f t="shared" ca="1" si="58"/>
        <v>1.8164806454072737</v>
      </c>
      <c r="AE109">
        <f t="shared" ca="1" si="59"/>
        <v>1.7971401180671913</v>
      </c>
      <c r="AF109">
        <f t="shared" ca="1" si="60"/>
        <v>2.3121195035904765</v>
      </c>
      <c r="AG109">
        <f t="shared" ca="1" si="61"/>
        <v>2.6263861007624416</v>
      </c>
      <c r="AH109">
        <f t="shared" ca="1" si="62"/>
        <v>2.3726117019325956</v>
      </c>
      <c r="AI109">
        <f t="shared" ca="1" si="63"/>
        <v>5.0335294626198186</v>
      </c>
      <c r="AJ109">
        <f t="shared" ca="1" si="64"/>
        <v>2.8787079744017241</v>
      </c>
      <c r="AK109">
        <f t="shared" ca="1" si="65"/>
        <v>2.2888378842006474</v>
      </c>
      <c r="AL109">
        <f t="shared" ca="1" si="66"/>
        <v>3.4925962012209442</v>
      </c>
      <c r="AM109">
        <f t="shared" ca="1" si="67"/>
        <v>3.5112108372368129</v>
      </c>
      <c r="AN109">
        <f t="shared" ca="1" si="68"/>
        <v>2.66825410279188</v>
      </c>
      <c r="AO109">
        <f t="shared" ca="1" si="69"/>
        <v>2.6021105947304584</v>
      </c>
      <c r="AP109">
        <f t="shared" ca="1" si="70"/>
        <v>2.5240997938874963</v>
      </c>
      <c r="AQ109">
        <f t="shared" ca="1" si="71"/>
        <v>3.5663122008278854</v>
      </c>
      <c r="AR109">
        <f t="shared" ca="1" si="72"/>
        <v>2.6510419465066803</v>
      </c>
      <c r="AS109">
        <f t="shared" ca="1" si="73"/>
        <v>3.8581214078045893</v>
      </c>
      <c r="AT109">
        <f t="shared" ca="1" si="74"/>
        <v>3.2502985823637265</v>
      </c>
      <c r="AU109">
        <f t="shared" ca="1" si="75"/>
        <v>3.9985719417823495</v>
      </c>
      <c r="AV109">
        <f t="shared" ca="1" si="76"/>
        <v>3.2991739817963199</v>
      </c>
      <c r="AW109">
        <f t="shared" ca="1" si="77"/>
        <v>2.5328220543188769</v>
      </c>
      <c r="AX109">
        <f t="shared" ca="1" si="78"/>
        <v>3.3761103688521343</v>
      </c>
      <c r="AY109">
        <f t="shared" ca="1" si="79"/>
        <v>2.6322387130380891</v>
      </c>
      <c r="AZ109">
        <f t="shared" ca="1" si="80"/>
        <v>3.9162224721284895</v>
      </c>
    </row>
    <row r="110" spans="2:52" x14ac:dyDescent="0.35">
      <c r="B110" s="3">
        <v>45847</v>
      </c>
      <c r="C110" s="4">
        <v>285.850006103515</v>
      </c>
      <c r="D110">
        <f t="shared" si="42"/>
        <v>-5.4077333457763187E-3</v>
      </c>
      <c r="L110" t="s">
        <v>205</v>
      </c>
      <c r="M110">
        <f t="shared" ca="1" si="81"/>
        <v>2.8676028686198172</v>
      </c>
      <c r="N110">
        <f t="shared" ca="1" si="82"/>
        <v>3.1059088863976023</v>
      </c>
      <c r="O110">
        <f t="shared" ca="1" si="43"/>
        <v>3.4919155065665546</v>
      </c>
      <c r="P110">
        <f t="shared" ca="1" si="44"/>
        <v>3.7936212542858923</v>
      </c>
      <c r="Q110">
        <f t="shared" ca="1" si="45"/>
        <v>2.3607503172849675</v>
      </c>
      <c r="R110">
        <f t="shared" ca="1" si="46"/>
        <v>3.2081236262503259</v>
      </c>
      <c r="S110">
        <f t="shared" ca="1" si="47"/>
        <v>2.5264327377446052</v>
      </c>
      <c r="T110">
        <f t="shared" ca="1" si="48"/>
        <v>3.3707013276406479</v>
      </c>
      <c r="U110">
        <f t="shared" ca="1" si="49"/>
        <v>4.4799777094274171</v>
      </c>
      <c r="V110">
        <f t="shared" ca="1" si="50"/>
        <v>3.1641675991206788</v>
      </c>
      <c r="W110">
        <f t="shared" ca="1" si="51"/>
        <v>2.2085854830383229</v>
      </c>
      <c r="X110">
        <f t="shared" ca="1" si="52"/>
        <v>2.6190543671463602</v>
      </c>
      <c r="Y110">
        <f t="shared" ca="1" si="53"/>
        <v>2.709249345531334</v>
      </c>
      <c r="Z110">
        <f t="shared" ca="1" si="54"/>
        <v>3.6478582136697533</v>
      </c>
      <c r="AA110">
        <f t="shared" ca="1" si="55"/>
        <v>2.7887953180058602</v>
      </c>
      <c r="AB110">
        <f t="shared" ca="1" si="56"/>
        <v>2.35598404942442</v>
      </c>
      <c r="AC110">
        <f t="shared" ca="1" si="57"/>
        <v>2.011420773543271</v>
      </c>
      <c r="AD110">
        <f t="shared" ca="1" si="58"/>
        <v>1.788577044769178</v>
      </c>
      <c r="AE110">
        <f t="shared" ca="1" si="59"/>
        <v>1.7530651096243259</v>
      </c>
      <c r="AF110">
        <f t="shared" ca="1" si="60"/>
        <v>2.2513204177705139</v>
      </c>
      <c r="AG110">
        <f t="shared" ca="1" si="61"/>
        <v>2.647265742022094</v>
      </c>
      <c r="AH110">
        <f t="shared" ca="1" si="62"/>
        <v>2.3255164703429698</v>
      </c>
      <c r="AI110">
        <f t="shared" ca="1" si="63"/>
        <v>5.1569749223219858</v>
      </c>
      <c r="AJ110">
        <f t="shared" ca="1" si="64"/>
        <v>2.8855077229050834</v>
      </c>
      <c r="AK110">
        <f t="shared" ca="1" si="65"/>
        <v>2.2368579750903148</v>
      </c>
      <c r="AL110">
        <f t="shared" ca="1" si="66"/>
        <v>3.4172608467387824</v>
      </c>
      <c r="AM110">
        <f t="shared" ca="1" si="67"/>
        <v>3.471537805143178</v>
      </c>
      <c r="AN110">
        <f t="shared" ca="1" si="68"/>
        <v>2.5881852995181829</v>
      </c>
      <c r="AO110">
        <f t="shared" ca="1" si="69"/>
        <v>2.6327995313951966</v>
      </c>
      <c r="AP110">
        <f t="shared" ca="1" si="70"/>
        <v>2.5021933359836872</v>
      </c>
      <c r="AQ110">
        <f t="shared" ca="1" si="71"/>
        <v>3.6154161455436915</v>
      </c>
      <c r="AR110">
        <f t="shared" ca="1" si="72"/>
        <v>2.6879493227422766</v>
      </c>
      <c r="AS110">
        <f t="shared" ca="1" si="73"/>
        <v>3.761265565689385</v>
      </c>
      <c r="AT110">
        <f t="shared" ca="1" si="74"/>
        <v>3.329981695108565</v>
      </c>
      <c r="AU110">
        <f t="shared" ca="1" si="75"/>
        <v>4.003660555679736</v>
      </c>
      <c r="AV110">
        <f t="shared" ca="1" si="76"/>
        <v>3.2875302407421132</v>
      </c>
      <c r="AW110">
        <f t="shared" ca="1" si="77"/>
        <v>2.700493021738168</v>
      </c>
      <c r="AX110">
        <f t="shared" ca="1" si="78"/>
        <v>3.2641315267570334</v>
      </c>
      <c r="AY110">
        <f t="shared" ca="1" si="79"/>
        <v>2.6472250785309486</v>
      </c>
      <c r="AZ110">
        <f t="shared" ca="1" si="80"/>
        <v>3.9375162268335169</v>
      </c>
    </row>
    <row r="111" spans="2:52" x14ac:dyDescent="0.35">
      <c r="B111" s="3">
        <v>45848</v>
      </c>
      <c r="C111" s="4">
        <v>289.89999389648398</v>
      </c>
      <c r="D111">
        <f t="shared" si="42"/>
        <v>1.406879581160247E-2</v>
      </c>
      <c r="L111" t="s">
        <v>206</v>
      </c>
      <c r="M111">
        <f t="shared" ca="1" si="81"/>
        <v>2.8053513306237137</v>
      </c>
      <c r="N111">
        <f t="shared" ca="1" si="82"/>
        <v>3.30050334430093</v>
      </c>
      <c r="O111">
        <f t="shared" ca="1" si="43"/>
        <v>3.4300777912285816</v>
      </c>
      <c r="P111">
        <f t="shared" ca="1" si="44"/>
        <v>3.5897489265784208</v>
      </c>
      <c r="Q111">
        <f t="shared" ca="1" si="45"/>
        <v>2.3530559666593072</v>
      </c>
      <c r="R111">
        <f t="shared" ca="1" si="46"/>
        <v>3.2893614795425892</v>
      </c>
      <c r="S111">
        <f t="shared" ca="1" si="47"/>
        <v>2.6201279333569727</v>
      </c>
      <c r="T111">
        <f t="shared" ca="1" si="48"/>
        <v>3.4261225822276651</v>
      </c>
      <c r="U111">
        <f t="shared" ca="1" si="49"/>
        <v>4.3648161330537745</v>
      </c>
      <c r="V111">
        <f t="shared" ca="1" si="50"/>
        <v>3.3458671491708416</v>
      </c>
      <c r="W111">
        <f t="shared" ca="1" si="51"/>
        <v>2.3198541043746976</v>
      </c>
      <c r="X111">
        <f t="shared" ca="1" si="52"/>
        <v>2.5178053253234425</v>
      </c>
      <c r="Y111">
        <f t="shared" ca="1" si="53"/>
        <v>2.8424606525183966</v>
      </c>
      <c r="Z111">
        <f t="shared" ca="1" si="54"/>
        <v>3.5866193547490584</v>
      </c>
      <c r="AA111">
        <f t="shared" ca="1" si="55"/>
        <v>2.8433392562382043</v>
      </c>
      <c r="AB111">
        <f t="shared" ca="1" si="56"/>
        <v>2.3002742338820017</v>
      </c>
      <c r="AC111">
        <f t="shared" ca="1" si="57"/>
        <v>2.0311688709176088</v>
      </c>
      <c r="AD111">
        <f t="shared" ca="1" si="58"/>
        <v>1.8701191822483452</v>
      </c>
      <c r="AE111">
        <f t="shared" ca="1" si="59"/>
        <v>1.6674267059196481</v>
      </c>
      <c r="AF111">
        <f t="shared" ca="1" si="60"/>
        <v>2.2494304518807491</v>
      </c>
      <c r="AG111">
        <f t="shared" ca="1" si="61"/>
        <v>2.7023734719307071</v>
      </c>
      <c r="AH111">
        <f t="shared" ca="1" si="62"/>
        <v>2.3490022804630568</v>
      </c>
      <c r="AI111">
        <f t="shared" ca="1" si="63"/>
        <v>5.1301816206544562</v>
      </c>
      <c r="AJ111">
        <f t="shared" ca="1" si="64"/>
        <v>2.8044925071441855</v>
      </c>
      <c r="AK111">
        <f t="shared" ca="1" si="65"/>
        <v>2.2750335538384214</v>
      </c>
      <c r="AL111">
        <f t="shared" ca="1" si="66"/>
        <v>3.3424669300763754</v>
      </c>
      <c r="AM111">
        <f t="shared" ca="1" si="67"/>
        <v>3.5230170290107785</v>
      </c>
      <c r="AN111">
        <f t="shared" ca="1" si="68"/>
        <v>2.6720416119634041</v>
      </c>
      <c r="AO111">
        <f t="shared" ca="1" si="69"/>
        <v>2.6671728866716178</v>
      </c>
      <c r="AP111">
        <f t="shared" ca="1" si="70"/>
        <v>2.5086394372645491</v>
      </c>
      <c r="AQ111">
        <f t="shared" ca="1" si="71"/>
        <v>3.5071100685613894</v>
      </c>
      <c r="AR111">
        <f t="shared" ca="1" si="72"/>
        <v>2.650174907905742</v>
      </c>
      <c r="AS111">
        <f t="shared" ca="1" si="73"/>
        <v>3.7529171487976725</v>
      </c>
      <c r="AT111">
        <f t="shared" ca="1" si="74"/>
        <v>3.4858776448537356</v>
      </c>
      <c r="AU111">
        <f t="shared" ca="1" si="75"/>
        <v>4.0172929895239022</v>
      </c>
      <c r="AV111">
        <f t="shared" ca="1" si="76"/>
        <v>3.3216834581718948</v>
      </c>
      <c r="AW111">
        <f t="shared" ca="1" si="77"/>
        <v>2.6581010419937927</v>
      </c>
      <c r="AX111">
        <f t="shared" ca="1" si="78"/>
        <v>3.4075043132493521</v>
      </c>
      <c r="AY111">
        <f t="shared" ca="1" si="79"/>
        <v>2.5980567511230621</v>
      </c>
      <c r="AZ111">
        <f t="shared" ca="1" si="80"/>
        <v>4.05869973742728</v>
      </c>
    </row>
    <row r="112" spans="2:52" x14ac:dyDescent="0.35">
      <c r="B112" s="3">
        <v>45849</v>
      </c>
      <c r="C112" s="4">
        <v>288.600006103515</v>
      </c>
      <c r="D112">
        <f t="shared" si="42"/>
        <v>-4.4943473852717634E-3</v>
      </c>
      <c r="L112" t="s">
        <v>207</v>
      </c>
      <c r="M112">
        <f t="shared" ca="1" si="81"/>
        <v>2.8334311526487643</v>
      </c>
      <c r="N112">
        <f t="shared" ca="1" si="82"/>
        <v>3.4413271980937195</v>
      </c>
      <c r="O112">
        <f t="shared" ca="1" si="43"/>
        <v>3.3619287367435522</v>
      </c>
      <c r="P112">
        <f t="shared" ca="1" si="44"/>
        <v>3.517809839706588</v>
      </c>
      <c r="Q112">
        <f t="shared" ca="1" si="45"/>
        <v>2.3865357724941632</v>
      </c>
      <c r="R112">
        <f t="shared" ca="1" si="46"/>
        <v>3.1193857093367865</v>
      </c>
      <c r="S112">
        <f t="shared" ca="1" si="47"/>
        <v>2.618933611627619</v>
      </c>
      <c r="T112">
        <f t="shared" ca="1" si="48"/>
        <v>3.5732939561162675</v>
      </c>
      <c r="U112">
        <f t="shared" ca="1" si="49"/>
        <v>4.3086696850149204</v>
      </c>
      <c r="V112">
        <f t="shared" ca="1" si="50"/>
        <v>3.3417166536008365</v>
      </c>
      <c r="W112">
        <f t="shared" ca="1" si="51"/>
        <v>2.2677636368023149</v>
      </c>
      <c r="X112">
        <f t="shared" ca="1" si="52"/>
        <v>2.4963423005082341</v>
      </c>
      <c r="Y112">
        <f t="shared" ca="1" si="53"/>
        <v>2.8401338611035243</v>
      </c>
      <c r="Z112">
        <f t="shared" ca="1" si="54"/>
        <v>3.5801042180956983</v>
      </c>
      <c r="AA112">
        <f t="shared" ca="1" si="55"/>
        <v>2.7516016878674643</v>
      </c>
      <c r="AB112">
        <f t="shared" ca="1" si="56"/>
        <v>2.2811688511152419</v>
      </c>
      <c r="AC112">
        <f t="shared" ca="1" si="57"/>
        <v>1.9950777947815168</v>
      </c>
      <c r="AD112">
        <f t="shared" ca="1" si="58"/>
        <v>1.8182978322723304</v>
      </c>
      <c r="AE112">
        <f t="shared" ca="1" si="59"/>
        <v>1.6349590179100288</v>
      </c>
      <c r="AF112">
        <f t="shared" ca="1" si="60"/>
        <v>2.2976975942885201</v>
      </c>
      <c r="AG112">
        <f t="shared" ca="1" si="61"/>
        <v>2.7204830783421259</v>
      </c>
      <c r="AH112">
        <f t="shared" ca="1" si="62"/>
        <v>2.3787423498047873</v>
      </c>
      <c r="AI112">
        <f t="shared" ca="1" si="63"/>
        <v>5.1376604575119078</v>
      </c>
      <c r="AJ112">
        <f t="shared" ca="1" si="64"/>
        <v>2.7304347191748803</v>
      </c>
      <c r="AK112">
        <f t="shared" ca="1" si="65"/>
        <v>2.2993514542474949</v>
      </c>
      <c r="AL112">
        <f t="shared" ca="1" si="66"/>
        <v>3.4053915149761642</v>
      </c>
      <c r="AM112">
        <f t="shared" ca="1" si="67"/>
        <v>3.5169801556872087</v>
      </c>
      <c r="AN112">
        <f t="shared" ca="1" si="68"/>
        <v>2.6807826009319533</v>
      </c>
      <c r="AO112">
        <f t="shared" ca="1" si="69"/>
        <v>2.6059018003509644</v>
      </c>
      <c r="AP112">
        <f t="shared" ca="1" si="70"/>
        <v>2.4481811043362773</v>
      </c>
      <c r="AQ112">
        <f t="shared" ca="1" si="71"/>
        <v>3.5800875220292125</v>
      </c>
      <c r="AR112">
        <f t="shared" ca="1" si="72"/>
        <v>2.6629357745555051</v>
      </c>
      <c r="AS112">
        <f t="shared" ca="1" si="73"/>
        <v>3.6733028967097314</v>
      </c>
      <c r="AT112">
        <f t="shared" ca="1" si="74"/>
        <v>3.4984277752648989</v>
      </c>
      <c r="AU112">
        <f t="shared" ca="1" si="75"/>
        <v>3.7817062039934557</v>
      </c>
      <c r="AV112">
        <f t="shared" ca="1" si="76"/>
        <v>3.3370152733070881</v>
      </c>
      <c r="AW112">
        <f t="shared" ca="1" si="77"/>
        <v>2.6119278152674377</v>
      </c>
      <c r="AX112">
        <f t="shared" ca="1" si="78"/>
        <v>3.5076400500284941</v>
      </c>
      <c r="AY112">
        <f t="shared" ca="1" si="79"/>
        <v>2.6384906073326766</v>
      </c>
      <c r="AZ112">
        <f t="shared" ca="1" si="80"/>
        <v>4.1429972263796717</v>
      </c>
    </row>
    <row r="113" spans="2:52" x14ac:dyDescent="0.35">
      <c r="B113" s="3">
        <v>45852</v>
      </c>
      <c r="C113" s="4">
        <v>305.70001220703102</v>
      </c>
      <c r="D113">
        <f t="shared" si="42"/>
        <v>5.7562601339723796E-2</v>
      </c>
      <c r="L113" t="s">
        <v>208</v>
      </c>
      <c r="M113">
        <f t="shared" ca="1" si="81"/>
        <v>2.8434591888451948</v>
      </c>
      <c r="N113">
        <f t="shared" ca="1" si="82"/>
        <v>3.4125253542373093</v>
      </c>
      <c r="O113">
        <f t="shared" ca="1" si="43"/>
        <v>3.2014853105264947</v>
      </c>
      <c r="P113">
        <f t="shared" ca="1" si="44"/>
        <v>3.3852354819109887</v>
      </c>
      <c r="Q113">
        <f t="shared" ca="1" si="45"/>
        <v>2.270380237978733</v>
      </c>
      <c r="R113">
        <f t="shared" ca="1" si="46"/>
        <v>3.0830871633738646</v>
      </c>
      <c r="S113">
        <f t="shared" ca="1" si="47"/>
        <v>2.5736929517141061</v>
      </c>
      <c r="T113">
        <f t="shared" ca="1" si="48"/>
        <v>3.7587697961175115</v>
      </c>
      <c r="U113">
        <f t="shared" ca="1" si="49"/>
        <v>4.2282536101992143</v>
      </c>
      <c r="V113">
        <f t="shared" ca="1" si="50"/>
        <v>3.3998735053837845</v>
      </c>
      <c r="W113">
        <f t="shared" ca="1" si="51"/>
        <v>2.3537202149820899</v>
      </c>
      <c r="X113">
        <f t="shared" ca="1" si="52"/>
        <v>2.5207020043666475</v>
      </c>
      <c r="Y113">
        <f t="shared" ca="1" si="53"/>
        <v>2.959209910021356</v>
      </c>
      <c r="Z113">
        <f t="shared" ca="1" si="54"/>
        <v>3.6471361679501424</v>
      </c>
      <c r="AA113">
        <f t="shared" ca="1" si="55"/>
        <v>2.6780981232951251</v>
      </c>
      <c r="AB113">
        <f t="shared" ca="1" si="56"/>
        <v>2.3125645449057637</v>
      </c>
      <c r="AC113">
        <f t="shared" ca="1" si="57"/>
        <v>1.981324988453588</v>
      </c>
      <c r="AD113">
        <f t="shared" ca="1" si="58"/>
        <v>1.8211353410067275</v>
      </c>
      <c r="AE113">
        <f t="shared" ca="1" si="59"/>
        <v>1.6629772421980398</v>
      </c>
      <c r="AF113">
        <f t="shared" ca="1" si="60"/>
        <v>2.2427481343860469</v>
      </c>
      <c r="AG113">
        <f t="shared" ca="1" si="61"/>
        <v>2.7262249299262886</v>
      </c>
      <c r="AH113">
        <f t="shared" ca="1" si="62"/>
        <v>2.4529914792435661</v>
      </c>
      <c r="AI113">
        <f t="shared" ca="1" si="63"/>
        <v>5.0085529070809702</v>
      </c>
      <c r="AJ113">
        <f t="shared" ca="1" si="64"/>
        <v>2.6974818795880298</v>
      </c>
      <c r="AK113">
        <f t="shared" ca="1" si="65"/>
        <v>2.3546348138696649</v>
      </c>
      <c r="AL113">
        <f t="shared" ca="1" si="66"/>
        <v>3.3783553739339895</v>
      </c>
      <c r="AM113">
        <f t="shared" ca="1" si="67"/>
        <v>3.5622181143326794</v>
      </c>
      <c r="AN113">
        <f t="shared" ca="1" si="68"/>
        <v>2.6140998759422329</v>
      </c>
      <c r="AO113">
        <f t="shared" ca="1" si="69"/>
        <v>2.6510970918273951</v>
      </c>
      <c r="AP113">
        <f t="shared" ca="1" si="70"/>
        <v>2.3747338662183144</v>
      </c>
      <c r="AQ113">
        <f t="shared" ca="1" si="71"/>
        <v>3.6819062360540307</v>
      </c>
      <c r="AR113">
        <f t="shared" ca="1" si="72"/>
        <v>2.6537408450660607</v>
      </c>
      <c r="AS113">
        <f t="shared" ca="1" si="73"/>
        <v>3.7090766050264405</v>
      </c>
      <c r="AT113">
        <f t="shared" ca="1" si="74"/>
        <v>3.8276249942414604</v>
      </c>
      <c r="AU113">
        <f t="shared" ca="1" si="75"/>
        <v>3.7767188824605378</v>
      </c>
      <c r="AV113">
        <f t="shared" ca="1" si="76"/>
        <v>3.3156796611850576</v>
      </c>
      <c r="AW113">
        <f t="shared" ca="1" si="77"/>
        <v>2.6478895255512716</v>
      </c>
      <c r="AX113">
        <f t="shared" ca="1" si="78"/>
        <v>3.5175753088080124</v>
      </c>
      <c r="AY113">
        <f t="shared" ca="1" si="79"/>
        <v>2.737153277134611</v>
      </c>
      <c r="AZ113">
        <f t="shared" ca="1" si="80"/>
        <v>4.163921781581128</v>
      </c>
    </row>
    <row r="114" spans="2:52" x14ac:dyDescent="0.35">
      <c r="B114" s="3">
        <v>45853</v>
      </c>
      <c r="C114" s="4">
        <v>301.600006103515</v>
      </c>
      <c r="D114">
        <f t="shared" si="42"/>
        <v>-1.3502612457275199E-2</v>
      </c>
      <c r="L114" t="s">
        <v>209</v>
      </c>
      <c r="M114">
        <f t="shared" ca="1" si="81"/>
        <v>2.8228888484443506</v>
      </c>
      <c r="N114">
        <f t="shared" ca="1" si="82"/>
        <v>3.4687401103965216</v>
      </c>
      <c r="O114">
        <f t="shared" ca="1" si="43"/>
        <v>3.1208249086396282</v>
      </c>
      <c r="P114">
        <f t="shared" ca="1" si="44"/>
        <v>3.4476713945669117</v>
      </c>
      <c r="Q114">
        <f t="shared" ca="1" si="45"/>
        <v>2.2243664994279602</v>
      </c>
      <c r="R114">
        <f t="shared" ca="1" si="46"/>
        <v>3.1019003864225239</v>
      </c>
      <c r="S114">
        <f t="shared" ca="1" si="47"/>
        <v>2.4803443853410929</v>
      </c>
      <c r="T114">
        <f t="shared" ca="1" si="48"/>
        <v>3.5933824655075823</v>
      </c>
      <c r="U114">
        <f t="shared" ca="1" si="49"/>
        <v>4.1518539162047858</v>
      </c>
      <c r="V114">
        <f t="shared" ca="1" si="50"/>
        <v>3.4175296549671437</v>
      </c>
      <c r="W114">
        <f t="shared" ca="1" si="51"/>
        <v>2.325603951701428</v>
      </c>
      <c r="X114">
        <f t="shared" ca="1" si="52"/>
        <v>2.4909808743542845</v>
      </c>
      <c r="Y114">
        <f t="shared" ca="1" si="53"/>
        <v>2.8295410001564503</v>
      </c>
      <c r="Z114">
        <f t="shared" ca="1" si="54"/>
        <v>3.6014767009088686</v>
      </c>
      <c r="AA114">
        <f t="shared" ca="1" si="55"/>
        <v>2.7068458092156762</v>
      </c>
      <c r="AB114">
        <f t="shared" ca="1" si="56"/>
        <v>2.2980799492233301</v>
      </c>
      <c r="AC114">
        <f t="shared" ca="1" si="57"/>
        <v>1.9713461185755801</v>
      </c>
      <c r="AD114">
        <f t="shared" ca="1" si="58"/>
        <v>1.8697964540008611</v>
      </c>
      <c r="AE114">
        <f t="shared" ca="1" si="59"/>
        <v>1.6520129200225684</v>
      </c>
      <c r="AF114">
        <f t="shared" ca="1" si="60"/>
        <v>2.320937216194412</v>
      </c>
      <c r="AG114">
        <f t="shared" ca="1" si="61"/>
        <v>2.8319833678102948</v>
      </c>
      <c r="AH114">
        <f t="shared" ca="1" si="62"/>
        <v>2.4621469627072816</v>
      </c>
      <c r="AI114">
        <f t="shared" ca="1" si="63"/>
        <v>4.9922905751873996</v>
      </c>
      <c r="AJ114">
        <f t="shared" ca="1" si="64"/>
        <v>2.7249057935883862</v>
      </c>
      <c r="AK114">
        <f t="shared" ca="1" si="65"/>
        <v>2.3894453493012389</v>
      </c>
      <c r="AL114">
        <f t="shared" ca="1" si="66"/>
        <v>3.2919340310510026</v>
      </c>
      <c r="AM114">
        <f t="shared" ca="1" si="67"/>
        <v>3.5810206191692915</v>
      </c>
      <c r="AN114">
        <f t="shared" ca="1" si="68"/>
        <v>2.6380622197799179</v>
      </c>
      <c r="AO114">
        <f t="shared" ca="1" si="69"/>
        <v>2.682478986697169</v>
      </c>
      <c r="AP114">
        <f t="shared" ca="1" si="70"/>
        <v>2.2676877813990082</v>
      </c>
      <c r="AQ114">
        <f t="shared" ca="1" si="71"/>
        <v>3.8094427784126665</v>
      </c>
      <c r="AR114">
        <f t="shared" ca="1" si="72"/>
        <v>2.5565975581079896</v>
      </c>
      <c r="AS114">
        <f t="shared" ca="1" si="73"/>
        <v>3.6603910214165314</v>
      </c>
      <c r="AT114">
        <f t="shared" ca="1" si="74"/>
        <v>3.7871051040788037</v>
      </c>
      <c r="AU114">
        <f t="shared" ca="1" si="75"/>
        <v>3.7466408108884752</v>
      </c>
      <c r="AV114">
        <f t="shared" ca="1" si="76"/>
        <v>3.390601785653697</v>
      </c>
      <c r="AW114">
        <f t="shared" ca="1" si="77"/>
        <v>2.7418452415084342</v>
      </c>
      <c r="AX114">
        <f t="shared" ca="1" si="78"/>
        <v>3.4795697396323075</v>
      </c>
      <c r="AY114">
        <f t="shared" ca="1" si="79"/>
        <v>2.6826104122000376</v>
      </c>
      <c r="AZ114">
        <f t="shared" ca="1" si="80"/>
        <v>4.0371541578642907</v>
      </c>
    </row>
    <row r="115" spans="2:52" x14ac:dyDescent="0.35">
      <c r="B115" s="3">
        <v>45854</v>
      </c>
      <c r="C115" s="4">
        <v>314.54998779296801</v>
      </c>
      <c r="D115">
        <f t="shared" si="42"/>
        <v>4.2041350837196102E-2</v>
      </c>
      <c r="L115" t="s">
        <v>210</v>
      </c>
      <c r="M115">
        <f t="shared" ca="1" si="81"/>
        <v>2.7696620992204974</v>
      </c>
      <c r="N115">
        <f t="shared" ca="1" si="82"/>
        <v>3.3740117041294644</v>
      </c>
      <c r="O115">
        <f t="shared" ca="1" si="43"/>
        <v>3.1645190244487211</v>
      </c>
      <c r="P115">
        <f t="shared" ca="1" si="44"/>
        <v>3.4138988735410485</v>
      </c>
      <c r="Q115">
        <f t="shared" ca="1" si="45"/>
        <v>2.0661230303365365</v>
      </c>
      <c r="R115">
        <f t="shared" ca="1" si="46"/>
        <v>3.0344477868402326</v>
      </c>
      <c r="S115">
        <f t="shared" ca="1" si="47"/>
        <v>2.5517708858797863</v>
      </c>
      <c r="T115">
        <f t="shared" ca="1" si="48"/>
        <v>3.6433605367359987</v>
      </c>
      <c r="U115">
        <f t="shared" ca="1" si="49"/>
        <v>4.2096984599983962</v>
      </c>
      <c r="V115">
        <f t="shared" ca="1" si="50"/>
        <v>3.4064714283249646</v>
      </c>
      <c r="W115">
        <f t="shared" ca="1" si="51"/>
        <v>2.3402768737361832</v>
      </c>
      <c r="X115">
        <f t="shared" ca="1" si="52"/>
        <v>2.4537285707030945</v>
      </c>
      <c r="Y115">
        <f t="shared" ca="1" si="53"/>
        <v>2.8450512015558926</v>
      </c>
      <c r="Z115">
        <f t="shared" ca="1" si="54"/>
        <v>3.6841846401100371</v>
      </c>
      <c r="AA115">
        <f t="shared" ca="1" si="55"/>
        <v>2.7470374438957479</v>
      </c>
      <c r="AB115">
        <f t="shared" ca="1" si="56"/>
        <v>2.219367786817215</v>
      </c>
      <c r="AC115">
        <f t="shared" ca="1" si="57"/>
        <v>2.0107298160989893</v>
      </c>
      <c r="AD115">
        <f t="shared" ca="1" si="58"/>
        <v>1.8133314901463609</v>
      </c>
      <c r="AE115">
        <f t="shared" ca="1" si="59"/>
        <v>1.6556728266953971</v>
      </c>
      <c r="AF115">
        <f t="shared" ca="1" si="60"/>
        <v>2.2910360484854735</v>
      </c>
      <c r="AG115">
        <f t="shared" ca="1" si="61"/>
        <v>2.8730147427879169</v>
      </c>
      <c r="AH115">
        <f t="shared" ca="1" si="62"/>
        <v>2.454851399171079</v>
      </c>
      <c r="AI115">
        <f t="shared" ca="1" si="63"/>
        <v>4.9007364154812185</v>
      </c>
      <c r="AJ115">
        <f t="shared" ca="1" si="64"/>
        <v>2.696763251432686</v>
      </c>
      <c r="AK115">
        <f t="shared" ca="1" si="65"/>
        <v>2.4292110300444092</v>
      </c>
      <c r="AL115">
        <f t="shared" ca="1" si="66"/>
        <v>3.3544396682272302</v>
      </c>
      <c r="AM115">
        <f t="shared" ca="1" si="67"/>
        <v>3.601019548204389</v>
      </c>
      <c r="AN115">
        <f t="shared" ca="1" si="68"/>
        <v>2.6293182759604004</v>
      </c>
      <c r="AO115">
        <f t="shared" ca="1" si="69"/>
        <v>2.6265233947017119</v>
      </c>
      <c r="AP115">
        <f t="shared" ca="1" si="70"/>
        <v>2.2283165765068285</v>
      </c>
      <c r="AQ115">
        <f t="shared" ca="1" si="71"/>
        <v>3.865307418612737</v>
      </c>
      <c r="AR115">
        <f t="shared" ca="1" si="72"/>
        <v>2.5441126825292799</v>
      </c>
      <c r="AS115">
        <f t="shared" ca="1" si="73"/>
        <v>3.7010804462935503</v>
      </c>
      <c r="AT115">
        <f t="shared" ca="1" si="74"/>
        <v>4.0142347612410738</v>
      </c>
      <c r="AU115">
        <f t="shared" ca="1" si="75"/>
        <v>3.8613353015392455</v>
      </c>
      <c r="AV115">
        <f t="shared" ca="1" si="76"/>
        <v>3.2858845084753607</v>
      </c>
      <c r="AW115">
        <f t="shared" ca="1" si="77"/>
        <v>2.832106803301393</v>
      </c>
      <c r="AX115">
        <f t="shared" ca="1" si="78"/>
        <v>3.3904089056426248</v>
      </c>
      <c r="AY115">
        <f t="shared" ca="1" si="79"/>
        <v>2.6791572516204871</v>
      </c>
      <c r="AZ115">
        <f t="shared" ca="1" si="80"/>
        <v>4.0172850467689036</v>
      </c>
    </row>
    <row r="116" spans="2:52" x14ac:dyDescent="0.35">
      <c r="B116" s="3">
        <v>45855</v>
      </c>
      <c r="C116" s="4">
        <v>312.5</v>
      </c>
      <c r="D116">
        <f t="shared" si="42"/>
        <v>-6.5385380316593279E-3</v>
      </c>
      <c r="L116" t="s">
        <v>211</v>
      </c>
      <c r="M116">
        <f t="shared" ca="1" si="81"/>
        <v>2.8297388837952813</v>
      </c>
      <c r="N116">
        <f t="shared" ca="1" si="82"/>
        <v>3.513228570191675</v>
      </c>
      <c r="O116">
        <f t="shared" ca="1" si="43"/>
        <v>3.29568321735049</v>
      </c>
      <c r="P116">
        <f t="shared" ca="1" si="44"/>
        <v>3.4535663245476926</v>
      </c>
      <c r="Q116">
        <f t="shared" ca="1" si="45"/>
        <v>2.0392861174173191</v>
      </c>
      <c r="R116">
        <f t="shared" ca="1" si="46"/>
        <v>3.0574730030903541</v>
      </c>
      <c r="S116">
        <f t="shared" ca="1" si="47"/>
        <v>2.4440076927359047</v>
      </c>
      <c r="T116">
        <f t="shared" ca="1" si="48"/>
        <v>3.5322527107658996</v>
      </c>
      <c r="U116">
        <f t="shared" ca="1" si="49"/>
        <v>4.2528945223488446</v>
      </c>
      <c r="V116">
        <f t="shared" ca="1" si="50"/>
        <v>3.2628901608605938</v>
      </c>
      <c r="W116">
        <f t="shared" ca="1" si="51"/>
        <v>2.3809959527846605</v>
      </c>
      <c r="X116">
        <f t="shared" ca="1" si="52"/>
        <v>2.3962741374884318</v>
      </c>
      <c r="Y116">
        <f t="shared" ca="1" si="53"/>
        <v>2.8466108770642635</v>
      </c>
      <c r="Z116">
        <f t="shared" ca="1" si="54"/>
        <v>3.6438440336844375</v>
      </c>
      <c r="AA116">
        <f t="shared" ca="1" si="55"/>
        <v>2.8844889781933931</v>
      </c>
      <c r="AB116">
        <f t="shared" ca="1" si="56"/>
        <v>2.2899825392258681</v>
      </c>
      <c r="AC116">
        <f t="shared" ca="1" si="57"/>
        <v>2.060186775497387</v>
      </c>
      <c r="AD116">
        <f t="shared" ca="1" si="58"/>
        <v>1.7762909761689378</v>
      </c>
      <c r="AE116">
        <f t="shared" ca="1" si="59"/>
        <v>1.6635624037825438</v>
      </c>
      <c r="AF116">
        <f t="shared" ca="1" si="60"/>
        <v>2.3455584254830399</v>
      </c>
      <c r="AG116">
        <f t="shared" ca="1" si="61"/>
        <v>2.8906488145314815</v>
      </c>
      <c r="AH116">
        <f t="shared" ca="1" si="62"/>
        <v>2.3409929461687993</v>
      </c>
      <c r="AI116">
        <f t="shared" ca="1" si="63"/>
        <v>4.7631156501744618</v>
      </c>
      <c r="AJ116">
        <f t="shared" ca="1" si="64"/>
        <v>2.8677891014518702</v>
      </c>
      <c r="AK116">
        <f t="shared" ca="1" si="65"/>
        <v>2.515360767927878</v>
      </c>
      <c r="AL116">
        <f t="shared" ca="1" si="66"/>
        <v>3.3542527005648086</v>
      </c>
      <c r="AM116">
        <f t="shared" ca="1" si="67"/>
        <v>3.6102231406127219</v>
      </c>
      <c r="AN116">
        <f t="shared" ca="1" si="68"/>
        <v>2.6358961735009383</v>
      </c>
      <c r="AO116">
        <f t="shared" ca="1" si="69"/>
        <v>2.6296500630336594</v>
      </c>
      <c r="AP116">
        <f t="shared" ca="1" si="70"/>
        <v>2.1907485359240071</v>
      </c>
      <c r="AQ116">
        <f t="shared" ca="1" si="71"/>
        <v>3.7594119109280246</v>
      </c>
      <c r="AR116">
        <f t="shared" ca="1" si="72"/>
        <v>2.6830660670915103</v>
      </c>
      <c r="AS116">
        <f t="shared" ca="1" si="73"/>
        <v>3.805066912421081</v>
      </c>
      <c r="AT116">
        <f t="shared" ca="1" si="74"/>
        <v>3.7614551631779141</v>
      </c>
      <c r="AU116">
        <f t="shared" ca="1" si="75"/>
        <v>3.9212364576636443</v>
      </c>
      <c r="AV116">
        <f t="shared" ca="1" si="76"/>
        <v>3.2233293217611219</v>
      </c>
      <c r="AW116">
        <f t="shared" ca="1" si="77"/>
        <v>2.7198434597469592</v>
      </c>
      <c r="AX116">
        <f t="shared" ca="1" si="78"/>
        <v>3.372333374505192</v>
      </c>
      <c r="AY116">
        <f t="shared" ca="1" si="79"/>
        <v>2.6203552073470129</v>
      </c>
      <c r="AZ116">
        <f t="shared" ca="1" si="80"/>
        <v>4.0631998839681822</v>
      </c>
    </row>
    <row r="117" spans="2:52" x14ac:dyDescent="0.35">
      <c r="B117" s="3">
        <v>45856</v>
      </c>
      <c r="C117" s="4">
        <v>308.89999389648398</v>
      </c>
      <c r="D117">
        <f t="shared" si="42"/>
        <v>-1.1586889010793843E-2</v>
      </c>
      <c r="L117" t="s">
        <v>212</v>
      </c>
      <c r="M117">
        <f t="shared" ca="1" si="81"/>
        <v>2.8382635730003529</v>
      </c>
      <c r="N117">
        <f t="shared" ca="1" si="82"/>
        <v>3.7226017911365141</v>
      </c>
      <c r="O117">
        <f t="shared" ca="1" si="43"/>
        <v>3.4353833278446699</v>
      </c>
      <c r="P117">
        <f t="shared" ca="1" si="44"/>
        <v>3.4393215267807693</v>
      </c>
      <c r="Q117">
        <f t="shared" ca="1" si="45"/>
        <v>1.942741923476206</v>
      </c>
      <c r="R117">
        <f t="shared" ca="1" si="46"/>
        <v>3.0831996434274567</v>
      </c>
      <c r="S117">
        <f t="shared" ca="1" si="47"/>
        <v>2.4551046253466891</v>
      </c>
      <c r="T117">
        <f t="shared" ca="1" si="48"/>
        <v>3.6615356436274924</v>
      </c>
      <c r="U117">
        <f t="shared" ca="1" si="49"/>
        <v>4.1820089306742805</v>
      </c>
      <c r="V117">
        <f t="shared" ca="1" si="50"/>
        <v>3.2489695093176199</v>
      </c>
      <c r="W117">
        <f t="shared" ca="1" si="51"/>
        <v>2.3081049987250757</v>
      </c>
      <c r="X117">
        <f t="shared" ca="1" si="52"/>
        <v>2.4383142477212121</v>
      </c>
      <c r="Y117">
        <f t="shared" ca="1" si="53"/>
        <v>2.7967593133247743</v>
      </c>
      <c r="Z117">
        <f t="shared" ca="1" si="54"/>
        <v>3.6696657920145319</v>
      </c>
      <c r="AA117">
        <f t="shared" ca="1" si="55"/>
        <v>2.7495318334700802</v>
      </c>
      <c r="AB117">
        <f t="shared" ca="1" si="56"/>
        <v>2.2502675610986413</v>
      </c>
      <c r="AC117">
        <f t="shared" ca="1" si="57"/>
        <v>1.9796519305928904</v>
      </c>
      <c r="AD117">
        <f t="shared" ca="1" si="58"/>
        <v>1.6528743931543137</v>
      </c>
      <c r="AE117">
        <f t="shared" ca="1" si="59"/>
        <v>1.6248166306467473</v>
      </c>
      <c r="AF117">
        <f t="shared" ca="1" si="60"/>
        <v>2.2886139935540335</v>
      </c>
      <c r="AG117">
        <f t="shared" ca="1" si="61"/>
        <v>2.8202829392970372</v>
      </c>
      <c r="AH117">
        <f t="shared" ca="1" si="62"/>
        <v>2.3047307330601838</v>
      </c>
      <c r="AI117">
        <f t="shared" ca="1" si="63"/>
        <v>4.64638020947835</v>
      </c>
      <c r="AJ117">
        <f t="shared" ca="1" si="64"/>
        <v>2.9967406950389486</v>
      </c>
      <c r="AK117">
        <f t="shared" ca="1" si="65"/>
        <v>2.5391330358625104</v>
      </c>
      <c r="AL117">
        <f t="shared" ca="1" si="66"/>
        <v>3.2948879877963329</v>
      </c>
      <c r="AM117">
        <f t="shared" ca="1" si="67"/>
        <v>3.55419372895871</v>
      </c>
      <c r="AN117">
        <f t="shared" ca="1" si="68"/>
        <v>2.4971689434902222</v>
      </c>
      <c r="AO117">
        <f t="shared" ca="1" si="69"/>
        <v>2.5864078787766269</v>
      </c>
      <c r="AP117">
        <f t="shared" ca="1" si="70"/>
        <v>2.2235331568851295</v>
      </c>
      <c r="AQ117">
        <f t="shared" ca="1" si="71"/>
        <v>3.8686738750957779</v>
      </c>
      <c r="AR117">
        <f t="shared" ca="1" si="72"/>
        <v>2.6466665808451522</v>
      </c>
      <c r="AS117">
        <f t="shared" ca="1" si="73"/>
        <v>3.9440367174070343</v>
      </c>
      <c r="AT117">
        <f t="shared" ca="1" si="74"/>
        <v>3.7118083232470642</v>
      </c>
      <c r="AU117">
        <f t="shared" ca="1" si="75"/>
        <v>3.9994277006635581</v>
      </c>
      <c r="AV117">
        <f t="shared" ca="1" si="76"/>
        <v>3.2174237264610346</v>
      </c>
      <c r="AW117">
        <f t="shared" ca="1" si="77"/>
        <v>2.6193652473310918</v>
      </c>
      <c r="AX117">
        <f t="shared" ca="1" si="78"/>
        <v>3.3421470783633724</v>
      </c>
      <c r="AY117">
        <f t="shared" ca="1" si="79"/>
        <v>2.5546238503543544</v>
      </c>
      <c r="AZ117">
        <f t="shared" ca="1" si="80"/>
        <v>4.0938454892454237</v>
      </c>
    </row>
    <row r="118" spans="2:52" x14ac:dyDescent="0.35">
      <c r="B118" s="3">
        <v>45859</v>
      </c>
      <c r="C118" s="4">
        <v>297.25</v>
      </c>
      <c r="D118">
        <f t="shared" si="42"/>
        <v>-3.8444044594771083E-2</v>
      </c>
      <c r="L118" t="s">
        <v>213</v>
      </c>
      <c r="M118">
        <f t="shared" ca="1" si="81"/>
        <v>2.7166589898388174</v>
      </c>
      <c r="N118">
        <f t="shared" ca="1" si="82"/>
        <v>3.6196645251994606</v>
      </c>
      <c r="O118">
        <f t="shared" ca="1" si="43"/>
        <v>3.6926250951148845</v>
      </c>
      <c r="P118">
        <f t="shared" ca="1" si="44"/>
        <v>3.3660212784873322</v>
      </c>
      <c r="Q118">
        <f t="shared" ca="1" si="45"/>
        <v>1.9311205174225945</v>
      </c>
      <c r="R118">
        <f t="shared" ca="1" si="46"/>
        <v>3.0277795237109668</v>
      </c>
      <c r="S118">
        <f t="shared" ca="1" si="47"/>
        <v>2.4986653065576832</v>
      </c>
      <c r="T118">
        <f t="shared" ca="1" si="48"/>
        <v>3.7940022827760962</v>
      </c>
      <c r="U118">
        <f t="shared" ca="1" si="49"/>
        <v>4.2404529029639715</v>
      </c>
      <c r="V118">
        <f t="shared" ca="1" si="50"/>
        <v>3.2314418324343772</v>
      </c>
      <c r="W118">
        <f t="shared" ca="1" si="51"/>
        <v>2.378368379780714</v>
      </c>
      <c r="X118">
        <f t="shared" ca="1" si="52"/>
        <v>2.416718664577564</v>
      </c>
      <c r="Y118">
        <f t="shared" ca="1" si="53"/>
        <v>2.8269526709713193</v>
      </c>
      <c r="Z118">
        <f t="shared" ca="1" si="54"/>
        <v>3.6761478521671362</v>
      </c>
      <c r="AA118">
        <f t="shared" ca="1" si="55"/>
        <v>2.7532889511175589</v>
      </c>
      <c r="AB118">
        <f t="shared" ca="1" si="56"/>
        <v>2.1631586897042636</v>
      </c>
      <c r="AC118">
        <f t="shared" ca="1" si="57"/>
        <v>1.9667162338531952</v>
      </c>
      <c r="AD118">
        <f t="shared" ca="1" si="58"/>
        <v>1.6465285510172383</v>
      </c>
      <c r="AE118">
        <f t="shared" ca="1" si="59"/>
        <v>1.6032857074271323</v>
      </c>
      <c r="AF118">
        <f t="shared" ca="1" si="60"/>
        <v>2.2447164840225073</v>
      </c>
      <c r="AG118">
        <f t="shared" ca="1" si="61"/>
        <v>2.9190153501403628</v>
      </c>
      <c r="AH118">
        <f t="shared" ca="1" si="62"/>
        <v>2.2970544149472101</v>
      </c>
      <c r="AI118">
        <f t="shared" ca="1" si="63"/>
        <v>4.6153209038633562</v>
      </c>
      <c r="AJ118">
        <f t="shared" ca="1" si="64"/>
        <v>2.9952099456084977</v>
      </c>
      <c r="AK118">
        <f t="shared" ca="1" si="65"/>
        <v>2.7200473315601803</v>
      </c>
      <c r="AL118">
        <f t="shared" ca="1" si="66"/>
        <v>3.4318552663696349</v>
      </c>
      <c r="AM118">
        <f t="shared" ca="1" si="67"/>
        <v>3.5343965688255885</v>
      </c>
      <c r="AN118">
        <f t="shared" ca="1" si="68"/>
        <v>2.4758258835981048</v>
      </c>
      <c r="AO118">
        <f t="shared" ca="1" si="69"/>
        <v>2.5752258760351214</v>
      </c>
      <c r="AP118">
        <f t="shared" ca="1" si="70"/>
        <v>2.3293793712318402</v>
      </c>
      <c r="AQ118">
        <f t="shared" ca="1" si="71"/>
        <v>3.8494894284943393</v>
      </c>
      <c r="AR118">
        <f t="shared" ca="1" si="72"/>
        <v>2.6545971124385641</v>
      </c>
      <c r="AS118">
        <f t="shared" ca="1" si="73"/>
        <v>4.0914829766129994</v>
      </c>
      <c r="AT118">
        <f t="shared" ca="1" si="74"/>
        <v>3.6989655917787569</v>
      </c>
      <c r="AU118">
        <f t="shared" ca="1" si="75"/>
        <v>3.8972307511116546</v>
      </c>
      <c r="AV118">
        <f t="shared" ca="1" si="76"/>
        <v>3.1503616078408552</v>
      </c>
      <c r="AW118">
        <f t="shared" ca="1" si="77"/>
        <v>2.7224866230148352</v>
      </c>
      <c r="AX118">
        <f t="shared" ca="1" si="78"/>
        <v>3.4780932437987686</v>
      </c>
      <c r="AY118">
        <f t="shared" ca="1" si="79"/>
        <v>2.617567023348816</v>
      </c>
      <c r="AZ118">
        <f t="shared" ca="1" si="80"/>
        <v>4.0082818043663044</v>
      </c>
    </row>
    <row r="119" spans="2:52" x14ac:dyDescent="0.35">
      <c r="B119" s="3">
        <v>45860</v>
      </c>
      <c r="C119" s="4">
        <v>296.350006103515</v>
      </c>
      <c r="D119">
        <f t="shared" si="42"/>
        <v>-3.0323267414141216E-3</v>
      </c>
      <c r="L119" t="s">
        <v>214</v>
      </c>
      <c r="M119">
        <f t="shared" ca="1" si="81"/>
        <v>2.6428694268845216</v>
      </c>
      <c r="N119">
        <f t="shared" ca="1" si="82"/>
        <v>3.5424766860622738</v>
      </c>
      <c r="O119">
        <f t="shared" ca="1" si="43"/>
        <v>3.6735018616265944</v>
      </c>
      <c r="P119">
        <f t="shared" ca="1" si="44"/>
        <v>3.3858183155144643</v>
      </c>
      <c r="Q119">
        <f t="shared" ca="1" si="45"/>
        <v>1.8753063381644413</v>
      </c>
      <c r="R119">
        <f t="shared" ca="1" si="46"/>
        <v>2.9625634317847842</v>
      </c>
      <c r="S119">
        <f t="shared" ca="1" si="47"/>
        <v>2.5957199719642534</v>
      </c>
      <c r="T119">
        <f t="shared" ca="1" si="48"/>
        <v>3.6262135282615819</v>
      </c>
      <c r="U119">
        <f t="shared" ca="1" si="49"/>
        <v>4.3019473074740766</v>
      </c>
      <c r="V119">
        <f t="shared" ca="1" si="50"/>
        <v>3.2953184821084989</v>
      </c>
      <c r="W119">
        <f t="shared" ca="1" si="51"/>
        <v>2.3708602298265458</v>
      </c>
      <c r="X119">
        <f t="shared" ca="1" si="52"/>
        <v>2.4100069080907236</v>
      </c>
      <c r="Y119">
        <f t="shared" ca="1" si="53"/>
        <v>2.7852262297675043</v>
      </c>
      <c r="Z119">
        <f t="shared" ca="1" si="54"/>
        <v>3.7387815471985189</v>
      </c>
      <c r="AA119">
        <f t="shared" ca="1" si="55"/>
        <v>2.7116587419392064</v>
      </c>
      <c r="AB119">
        <f t="shared" ca="1" si="56"/>
        <v>2.1615024223212616</v>
      </c>
      <c r="AC119">
        <f t="shared" ca="1" si="57"/>
        <v>1.9229133032341972</v>
      </c>
      <c r="AD119">
        <f t="shared" ca="1" si="58"/>
        <v>1.6477196493863844</v>
      </c>
      <c r="AE119">
        <f t="shared" ca="1" si="59"/>
        <v>1.5607482559313586</v>
      </c>
      <c r="AF119">
        <f t="shared" ca="1" si="60"/>
        <v>2.3106507048051399</v>
      </c>
      <c r="AG119">
        <f t="shared" ca="1" si="61"/>
        <v>2.9718502384847252</v>
      </c>
      <c r="AH119">
        <f t="shared" ca="1" si="62"/>
        <v>2.2930091885790813</v>
      </c>
      <c r="AI119">
        <f t="shared" ca="1" si="63"/>
        <v>4.7089998704628107</v>
      </c>
      <c r="AJ119">
        <f t="shared" ca="1" si="64"/>
        <v>2.9399725511789918</v>
      </c>
      <c r="AK119">
        <f t="shared" ca="1" si="65"/>
        <v>2.7657928708202233</v>
      </c>
      <c r="AL119">
        <f t="shared" ca="1" si="66"/>
        <v>3.3665854968331037</v>
      </c>
      <c r="AM119">
        <f t="shared" ca="1" si="67"/>
        <v>3.3667550407253479</v>
      </c>
      <c r="AN119">
        <f t="shared" ca="1" si="68"/>
        <v>2.5140476752026863</v>
      </c>
      <c r="AO119">
        <f t="shared" ca="1" si="69"/>
        <v>2.5555476542612441</v>
      </c>
      <c r="AP119">
        <f t="shared" ca="1" si="70"/>
        <v>2.2293123447536254</v>
      </c>
      <c r="AQ119">
        <f t="shared" ca="1" si="71"/>
        <v>3.9380710845418561</v>
      </c>
      <c r="AR119">
        <f t="shared" ca="1" si="72"/>
        <v>2.6958449737368593</v>
      </c>
      <c r="AS119">
        <f t="shared" ca="1" si="73"/>
        <v>4.0942601917779804</v>
      </c>
      <c r="AT119">
        <f t="shared" ca="1" si="74"/>
        <v>3.8213985223712856</v>
      </c>
      <c r="AU119">
        <f t="shared" ca="1" si="75"/>
        <v>3.9540076349420237</v>
      </c>
      <c r="AV119">
        <f t="shared" ca="1" si="76"/>
        <v>3.2542905654893013</v>
      </c>
      <c r="AW119">
        <f t="shared" ca="1" si="77"/>
        <v>2.7161018565618953</v>
      </c>
      <c r="AX119">
        <f t="shared" ca="1" si="78"/>
        <v>3.2909755417950546</v>
      </c>
      <c r="AY119">
        <f t="shared" ca="1" si="79"/>
        <v>2.68066754032631</v>
      </c>
      <c r="AZ119">
        <f t="shared" ca="1" si="80"/>
        <v>4.023063961311605</v>
      </c>
    </row>
    <row r="120" spans="2:52" x14ac:dyDescent="0.35">
      <c r="B120" s="3">
        <v>45861</v>
      </c>
      <c r="C120" s="4">
        <v>301.350006103515</v>
      </c>
      <c r="D120">
        <f t="shared" si="42"/>
        <v>1.6731191353483218E-2</v>
      </c>
      <c r="L120" t="s">
        <v>215</v>
      </c>
      <c r="M120">
        <f t="shared" ca="1" si="81"/>
        <v>2.6733403284449082</v>
      </c>
      <c r="N120">
        <f t="shared" ca="1" si="82"/>
        <v>3.4767510156679609</v>
      </c>
      <c r="O120">
        <f t="shared" ca="1" si="43"/>
        <v>3.5605148171360832</v>
      </c>
      <c r="P120">
        <f t="shared" ca="1" si="44"/>
        <v>3.2593381717747558</v>
      </c>
      <c r="Q120">
        <f t="shared" ca="1" si="45"/>
        <v>1.8757762925539663</v>
      </c>
      <c r="R120">
        <f t="shared" ca="1" si="46"/>
        <v>3.1069289628621175</v>
      </c>
      <c r="S120">
        <f t="shared" ca="1" si="47"/>
        <v>2.6123053474871272</v>
      </c>
      <c r="T120">
        <f t="shared" ca="1" si="48"/>
        <v>3.6077067430950396</v>
      </c>
      <c r="U120">
        <f t="shared" ca="1" si="49"/>
        <v>4.387982396854329</v>
      </c>
      <c r="V120">
        <f t="shared" ca="1" si="50"/>
        <v>3.0513344031746099</v>
      </c>
      <c r="W120">
        <f t="shared" ca="1" si="51"/>
        <v>2.1960880961074927</v>
      </c>
      <c r="X120">
        <f t="shared" ca="1" si="52"/>
        <v>2.328354374051151</v>
      </c>
      <c r="Y120">
        <f t="shared" ca="1" si="53"/>
        <v>2.7107319210047076</v>
      </c>
      <c r="Z120">
        <f t="shared" ca="1" si="54"/>
        <v>3.5311068421928131</v>
      </c>
      <c r="AA120">
        <f t="shared" ca="1" si="55"/>
        <v>2.6956314065207669</v>
      </c>
      <c r="AB120">
        <f t="shared" ca="1" si="56"/>
        <v>2.2066913294770654</v>
      </c>
      <c r="AC120">
        <f t="shared" ca="1" si="57"/>
        <v>2.0087865675232401</v>
      </c>
      <c r="AD120">
        <f t="shared" ca="1" si="58"/>
        <v>1.6537291479348821</v>
      </c>
      <c r="AE120">
        <f t="shared" ca="1" si="59"/>
        <v>1.6119069258629433</v>
      </c>
      <c r="AF120">
        <f t="shared" ca="1" si="60"/>
        <v>2.343228766199652</v>
      </c>
      <c r="AG120">
        <f t="shared" ca="1" si="61"/>
        <v>2.9650051934528432</v>
      </c>
      <c r="AH120">
        <f t="shared" ca="1" si="62"/>
        <v>2.3525389480359458</v>
      </c>
      <c r="AI120">
        <f t="shared" ca="1" si="63"/>
        <v>4.7134149890697215</v>
      </c>
      <c r="AJ120">
        <f t="shared" ca="1" si="64"/>
        <v>2.9697578282404682</v>
      </c>
      <c r="AK120">
        <f t="shared" ca="1" si="65"/>
        <v>2.7251169870953365</v>
      </c>
      <c r="AL120">
        <f t="shared" ca="1" si="66"/>
        <v>3.330348100051765</v>
      </c>
      <c r="AM120">
        <f t="shared" ca="1" si="67"/>
        <v>3.4462261163299224</v>
      </c>
      <c r="AN120">
        <f t="shared" ca="1" si="68"/>
        <v>2.5261380712287522</v>
      </c>
      <c r="AO120">
        <f t="shared" ca="1" si="69"/>
        <v>2.627801104720068</v>
      </c>
      <c r="AP120">
        <f t="shared" ca="1" si="70"/>
        <v>2.2751097716576609</v>
      </c>
      <c r="AQ120">
        <f t="shared" ca="1" si="71"/>
        <v>3.9599525375420002</v>
      </c>
      <c r="AR120">
        <f t="shared" ca="1" si="72"/>
        <v>2.6664570745818419</v>
      </c>
      <c r="AS120">
        <f t="shared" ca="1" si="73"/>
        <v>4.056927842610909</v>
      </c>
      <c r="AT120">
        <f t="shared" ca="1" si="74"/>
        <v>4.0726660393871414</v>
      </c>
      <c r="AU120">
        <f t="shared" ca="1" si="75"/>
        <v>3.7902132109171154</v>
      </c>
      <c r="AV120">
        <f t="shared" ca="1" si="76"/>
        <v>3.2052427522346054</v>
      </c>
      <c r="AW120">
        <f t="shared" ca="1" si="77"/>
        <v>2.6827538206091552</v>
      </c>
      <c r="AX120">
        <f t="shared" ca="1" si="78"/>
        <v>3.1905762935112381</v>
      </c>
      <c r="AY120">
        <f t="shared" ca="1" si="79"/>
        <v>2.7431282237251717</v>
      </c>
      <c r="AZ120">
        <f t="shared" ca="1" si="80"/>
        <v>3.9333721214472037</v>
      </c>
    </row>
    <row r="121" spans="2:52" x14ac:dyDescent="0.35">
      <c r="B121" s="3">
        <v>45862</v>
      </c>
      <c r="C121" s="4">
        <v>304.850006103515</v>
      </c>
      <c r="D121">
        <f t="shared" si="42"/>
        <v>1.1547472192235729E-2</v>
      </c>
      <c r="L121" t="s">
        <v>216</v>
      </c>
      <c r="M121">
        <f t="shared" ca="1" si="81"/>
        <v>2.7154920606172257</v>
      </c>
      <c r="N121">
        <f t="shared" ca="1" si="82"/>
        <v>3.402240147790728</v>
      </c>
      <c r="O121">
        <f t="shared" ca="1" si="43"/>
        <v>3.4615191519499775</v>
      </c>
      <c r="P121">
        <f t="shared" ca="1" si="44"/>
        <v>3.1857616882245514</v>
      </c>
      <c r="Q121">
        <f t="shared" ca="1" si="45"/>
        <v>1.8995225261313915</v>
      </c>
      <c r="R121">
        <f t="shared" ca="1" si="46"/>
        <v>3.1012863882749646</v>
      </c>
      <c r="S121">
        <f t="shared" ca="1" si="47"/>
        <v>2.6499433618491466</v>
      </c>
      <c r="T121">
        <f t="shared" ca="1" si="48"/>
        <v>3.7151314879221897</v>
      </c>
      <c r="U121">
        <f t="shared" ca="1" si="49"/>
        <v>4.2921233863170283</v>
      </c>
      <c r="V121">
        <f t="shared" ca="1" si="50"/>
        <v>3.1149738453480729</v>
      </c>
      <c r="W121">
        <f t="shared" ca="1" si="51"/>
        <v>2.2508790335188116</v>
      </c>
      <c r="X121">
        <f t="shared" ca="1" si="52"/>
        <v>2.3474251520347891</v>
      </c>
      <c r="Y121">
        <f t="shared" ca="1" si="53"/>
        <v>2.6269126878820046</v>
      </c>
      <c r="Z121">
        <f t="shared" ca="1" si="54"/>
        <v>3.5588870464183775</v>
      </c>
      <c r="AA121">
        <f t="shared" ca="1" si="55"/>
        <v>2.7896909082942645</v>
      </c>
      <c r="AB121">
        <f t="shared" ca="1" si="56"/>
        <v>2.2679834866132307</v>
      </c>
      <c r="AC121">
        <f t="shared" ca="1" si="57"/>
        <v>2.0445592085953113</v>
      </c>
      <c r="AD121">
        <f t="shared" ca="1" si="58"/>
        <v>1.6397093657495441</v>
      </c>
      <c r="AE121">
        <f t="shared" ca="1" si="59"/>
        <v>1.6095503899563053</v>
      </c>
      <c r="AF121">
        <f t="shared" ca="1" si="60"/>
        <v>2.308096131576483</v>
      </c>
      <c r="AG121">
        <f t="shared" ca="1" si="61"/>
        <v>3.0563363158588981</v>
      </c>
      <c r="AH121">
        <f t="shared" ca="1" si="62"/>
        <v>2.4327954306511983</v>
      </c>
      <c r="AI121">
        <f t="shared" ca="1" si="63"/>
        <v>4.8141734814649517</v>
      </c>
      <c r="AJ121">
        <f t="shared" ca="1" si="64"/>
        <v>2.9457506871122114</v>
      </c>
      <c r="AK121">
        <f t="shared" ca="1" si="65"/>
        <v>2.7979813058404064</v>
      </c>
      <c r="AL121">
        <f t="shared" ca="1" si="66"/>
        <v>3.2246628951032168</v>
      </c>
      <c r="AM121">
        <f t="shared" ca="1" si="67"/>
        <v>3.3103274149690667</v>
      </c>
      <c r="AN121">
        <f t="shared" ca="1" si="68"/>
        <v>2.5104112726954653</v>
      </c>
      <c r="AO121">
        <f t="shared" ca="1" si="69"/>
        <v>2.6214100684325601</v>
      </c>
      <c r="AP121">
        <f t="shared" ca="1" si="70"/>
        <v>2.2319246286505874</v>
      </c>
      <c r="AQ121">
        <f t="shared" ca="1" si="71"/>
        <v>3.9738193181505235</v>
      </c>
      <c r="AR121">
        <f t="shared" ca="1" si="72"/>
        <v>2.6368780115079371</v>
      </c>
      <c r="AS121">
        <f t="shared" ca="1" si="73"/>
        <v>4.1109167065470418</v>
      </c>
      <c r="AT121">
        <f t="shared" ca="1" si="74"/>
        <v>4.0727157231283124</v>
      </c>
      <c r="AU121">
        <f t="shared" ca="1" si="75"/>
        <v>3.834920736828475</v>
      </c>
      <c r="AV121">
        <f t="shared" ca="1" si="76"/>
        <v>3.2609578293080084</v>
      </c>
      <c r="AW121">
        <f t="shared" ca="1" si="77"/>
        <v>2.7217530846430416</v>
      </c>
      <c r="AX121">
        <f t="shared" ca="1" si="78"/>
        <v>3.1807290087015185</v>
      </c>
      <c r="AY121">
        <f t="shared" ca="1" si="79"/>
        <v>2.6803777078014295</v>
      </c>
      <c r="AZ121">
        <f t="shared" ca="1" si="80"/>
        <v>3.8701010626509125</v>
      </c>
    </row>
    <row r="122" spans="2:52" x14ac:dyDescent="0.35">
      <c r="B122" s="3">
        <v>45863</v>
      </c>
      <c r="C122" s="4">
        <v>297.54998779296801</v>
      </c>
      <c r="D122">
        <f t="shared" si="42"/>
        <v>-2.4237635309481188E-2</v>
      </c>
      <c r="L122" t="s">
        <v>217</v>
      </c>
      <c r="M122">
        <f t="shared" ca="1" si="81"/>
        <v>2.8216300611874452</v>
      </c>
      <c r="N122">
        <f t="shared" ca="1" si="82"/>
        <v>3.3973647217318952</v>
      </c>
      <c r="O122">
        <f t="shared" ca="1" si="43"/>
        <v>3.5602473337373635</v>
      </c>
      <c r="P122">
        <f t="shared" ca="1" si="44"/>
        <v>3.2215110754072143</v>
      </c>
      <c r="Q122">
        <f t="shared" ca="1" si="45"/>
        <v>1.91120302554369</v>
      </c>
      <c r="R122">
        <f t="shared" ca="1" si="46"/>
        <v>3.0060393370955545</v>
      </c>
      <c r="S122">
        <f t="shared" ca="1" si="47"/>
        <v>2.6816851551284207</v>
      </c>
      <c r="T122">
        <f t="shared" ca="1" si="48"/>
        <v>3.8700862088121446</v>
      </c>
      <c r="U122">
        <f t="shared" ca="1" si="49"/>
        <v>4.253882193348212</v>
      </c>
      <c r="V122">
        <f t="shared" ca="1" si="50"/>
        <v>3.101806721090663</v>
      </c>
      <c r="W122">
        <f t="shared" ca="1" si="51"/>
        <v>2.2329361930671445</v>
      </c>
      <c r="X122">
        <f t="shared" ca="1" si="52"/>
        <v>2.3320282973791251</v>
      </c>
      <c r="Y122">
        <f t="shared" ca="1" si="53"/>
        <v>2.7542112426837582</v>
      </c>
      <c r="Z122">
        <f t="shared" ca="1" si="54"/>
        <v>3.6326397202249217</v>
      </c>
      <c r="AA122">
        <f t="shared" ca="1" si="55"/>
        <v>2.7243218156873512</v>
      </c>
      <c r="AB122">
        <f t="shared" ca="1" si="56"/>
        <v>2.3046661576734415</v>
      </c>
      <c r="AC122">
        <f t="shared" ca="1" si="57"/>
        <v>2.0301752327656848</v>
      </c>
      <c r="AD122">
        <f t="shared" ca="1" si="58"/>
        <v>1.6452807819702038</v>
      </c>
      <c r="AE122">
        <f t="shared" ca="1" si="59"/>
        <v>1.6603087465671285</v>
      </c>
      <c r="AF122">
        <f t="shared" ca="1" si="60"/>
        <v>2.3162715355447663</v>
      </c>
      <c r="AG122">
        <f t="shared" ca="1" si="61"/>
        <v>3.052929133360482</v>
      </c>
      <c r="AH122">
        <f t="shared" ca="1" si="62"/>
        <v>2.4723740977309547</v>
      </c>
      <c r="AI122">
        <f t="shared" ca="1" si="63"/>
        <v>4.7503571968390652</v>
      </c>
      <c r="AJ122">
        <f t="shared" ca="1" si="64"/>
        <v>3.0113517872061926</v>
      </c>
      <c r="AK122">
        <f t="shared" ca="1" si="65"/>
        <v>2.796255506919306</v>
      </c>
      <c r="AL122">
        <f t="shared" ca="1" si="66"/>
        <v>3.2821050971347931</v>
      </c>
      <c r="AM122">
        <f t="shared" ca="1" si="67"/>
        <v>3.3487153716321316</v>
      </c>
      <c r="AN122">
        <f t="shared" ca="1" si="68"/>
        <v>2.4686398665843035</v>
      </c>
      <c r="AO122">
        <f t="shared" ca="1" si="69"/>
        <v>2.6015551691838241</v>
      </c>
      <c r="AP122">
        <f t="shared" ca="1" si="70"/>
        <v>2.1523023622165698</v>
      </c>
      <c r="AQ122">
        <f t="shared" ca="1" si="71"/>
        <v>3.9272640899413673</v>
      </c>
      <c r="AR122">
        <f t="shared" ca="1" si="72"/>
        <v>2.6098076627318609</v>
      </c>
      <c r="AS122">
        <f t="shared" ca="1" si="73"/>
        <v>4.1109158381194479</v>
      </c>
      <c r="AT122">
        <f t="shared" ca="1" si="74"/>
        <v>4.2670538197801609</v>
      </c>
      <c r="AU122">
        <f t="shared" ca="1" si="75"/>
        <v>3.7877323630948876</v>
      </c>
      <c r="AV122">
        <f t="shared" ca="1" si="76"/>
        <v>3.195374247086503</v>
      </c>
      <c r="AW122">
        <f t="shared" ca="1" si="77"/>
        <v>2.5852712035384511</v>
      </c>
      <c r="AX122">
        <f t="shared" ca="1" si="78"/>
        <v>3.1792527867925711</v>
      </c>
      <c r="AY122">
        <f t="shared" ca="1" si="79"/>
        <v>2.706567293590914</v>
      </c>
      <c r="AZ122">
        <f t="shared" ca="1" si="80"/>
        <v>3.7057504573900069</v>
      </c>
    </row>
    <row r="123" spans="2:52" x14ac:dyDescent="0.35">
      <c r="B123" s="3">
        <v>45866</v>
      </c>
      <c r="C123" s="4">
        <v>301.70001220703102</v>
      </c>
      <c r="D123">
        <f t="shared" si="42"/>
        <v>1.3850949560125152E-2</v>
      </c>
      <c r="L123" t="s">
        <v>218</v>
      </c>
      <c r="M123">
        <f t="shared" ca="1" si="81"/>
        <v>2.7894290199606715</v>
      </c>
      <c r="N123">
        <f t="shared" ca="1" si="82"/>
        <v>3.3711052887071427</v>
      </c>
      <c r="O123">
        <f t="shared" ca="1" si="43"/>
        <v>3.5650583277560348</v>
      </c>
      <c r="P123">
        <f t="shared" ca="1" si="44"/>
        <v>3.0898307122231574</v>
      </c>
      <c r="Q123">
        <f t="shared" ca="1" si="45"/>
        <v>1.9092264418051885</v>
      </c>
      <c r="R123">
        <f t="shared" ca="1" si="46"/>
        <v>2.9078280043708293</v>
      </c>
      <c r="S123">
        <f t="shared" ca="1" si="47"/>
        <v>2.6609877260186043</v>
      </c>
      <c r="T123">
        <f t="shared" ca="1" si="48"/>
        <v>3.8123064652572562</v>
      </c>
      <c r="U123">
        <f t="shared" ca="1" si="49"/>
        <v>4.2872938504858551</v>
      </c>
      <c r="V123">
        <f t="shared" ca="1" si="50"/>
        <v>3.1234374381123087</v>
      </c>
      <c r="W123">
        <f t="shared" ca="1" si="51"/>
        <v>2.1178578724348096</v>
      </c>
      <c r="X123">
        <f t="shared" ca="1" si="52"/>
        <v>2.3513520887173245</v>
      </c>
      <c r="Y123">
        <f t="shared" ca="1" si="53"/>
        <v>2.7588720882890843</v>
      </c>
      <c r="Z123">
        <f t="shared" ca="1" si="54"/>
        <v>3.6005908431165983</v>
      </c>
      <c r="AA123">
        <f t="shared" ca="1" si="55"/>
        <v>2.7101946847899727</v>
      </c>
      <c r="AB123">
        <f t="shared" ca="1" si="56"/>
        <v>2.2610767103740201</v>
      </c>
      <c r="AC123">
        <f t="shared" ca="1" si="57"/>
        <v>2.0048169844197106</v>
      </c>
      <c r="AD123">
        <f t="shared" ca="1" si="58"/>
        <v>1.6627320591377039</v>
      </c>
      <c r="AE123">
        <f t="shared" ca="1" si="59"/>
        <v>1.6829554461636189</v>
      </c>
      <c r="AF123">
        <f t="shared" ca="1" si="60"/>
        <v>2.3177234877097752</v>
      </c>
      <c r="AG123">
        <f t="shared" ca="1" si="61"/>
        <v>3.0813012304168756</v>
      </c>
      <c r="AH123">
        <f t="shared" ca="1" si="62"/>
        <v>2.4680696254248753</v>
      </c>
      <c r="AI123">
        <f t="shared" ca="1" si="63"/>
        <v>4.8053245404100622</v>
      </c>
      <c r="AJ123">
        <f t="shared" ca="1" si="64"/>
        <v>2.9540183665789512</v>
      </c>
      <c r="AK123">
        <f t="shared" ca="1" si="65"/>
        <v>2.7370319787763715</v>
      </c>
      <c r="AL123">
        <f t="shared" ca="1" si="66"/>
        <v>3.2976896667430364</v>
      </c>
      <c r="AM123">
        <f t="shared" ca="1" si="67"/>
        <v>3.3495311838629322</v>
      </c>
      <c r="AN123">
        <f t="shared" ca="1" si="68"/>
        <v>2.4091668834765567</v>
      </c>
      <c r="AO123">
        <f t="shared" ca="1" si="69"/>
        <v>2.6888623895024142</v>
      </c>
      <c r="AP123">
        <f t="shared" ca="1" si="70"/>
        <v>2.1764942625955368</v>
      </c>
      <c r="AQ123">
        <f t="shared" ca="1" si="71"/>
        <v>3.9530846263412935</v>
      </c>
      <c r="AR123">
        <f t="shared" ca="1" si="72"/>
        <v>2.6033142413909967</v>
      </c>
      <c r="AS123">
        <f t="shared" ca="1" si="73"/>
        <v>4.2768398412884165</v>
      </c>
      <c r="AT123">
        <f t="shared" ca="1" si="74"/>
        <v>4.2672985382594666</v>
      </c>
      <c r="AU123">
        <f t="shared" ca="1" si="75"/>
        <v>3.6784966480955705</v>
      </c>
      <c r="AV123">
        <f t="shared" ca="1" si="76"/>
        <v>3.1800125182981782</v>
      </c>
      <c r="AW123">
        <f t="shared" ca="1" si="77"/>
        <v>2.6656518533880349</v>
      </c>
      <c r="AX123">
        <f t="shared" ca="1" si="78"/>
        <v>3.2902491896468482</v>
      </c>
      <c r="AY123">
        <f t="shared" ca="1" si="79"/>
        <v>2.6422998924820336</v>
      </c>
      <c r="AZ123">
        <f t="shared" ca="1" si="80"/>
        <v>3.7006340710822605</v>
      </c>
    </row>
    <row r="124" spans="2:52" x14ac:dyDescent="0.35">
      <c r="B124" s="3">
        <v>45867</v>
      </c>
      <c r="C124" s="4">
        <v>296.5</v>
      </c>
      <c r="D124">
        <f t="shared" si="42"/>
        <v>-1.7385968188059871E-2</v>
      </c>
      <c r="L124" t="s">
        <v>219</v>
      </c>
      <c r="M124">
        <f t="shared" ca="1" si="81"/>
        <v>2.8955394402917438</v>
      </c>
      <c r="N124">
        <f t="shared" ca="1" si="82"/>
        <v>3.3837767688221136</v>
      </c>
      <c r="O124">
        <f t="shared" ca="1" si="43"/>
        <v>3.5769747197492507</v>
      </c>
      <c r="P124">
        <f t="shared" ca="1" si="44"/>
        <v>3.2217326149907444</v>
      </c>
      <c r="Q124">
        <f t="shared" ca="1" si="45"/>
        <v>1.8938883639353825</v>
      </c>
      <c r="R124">
        <f t="shared" ca="1" si="46"/>
        <v>2.9445368046467975</v>
      </c>
      <c r="S124">
        <f t="shared" ca="1" si="47"/>
        <v>2.7901783108160445</v>
      </c>
      <c r="T124">
        <f t="shared" ca="1" si="48"/>
        <v>3.8213971930518809</v>
      </c>
      <c r="U124">
        <f t="shared" ca="1" si="49"/>
        <v>4.2821076089244619</v>
      </c>
      <c r="V124">
        <f t="shared" ca="1" si="50"/>
        <v>2.9814932279061699</v>
      </c>
      <c r="W124">
        <f t="shared" ca="1" si="51"/>
        <v>2.178964982485299</v>
      </c>
      <c r="X124">
        <f t="shared" ca="1" si="52"/>
        <v>2.2983493566271256</v>
      </c>
      <c r="Y124">
        <f t="shared" ca="1" si="53"/>
        <v>2.7482909636652839</v>
      </c>
      <c r="Z124">
        <f t="shared" ca="1" si="54"/>
        <v>3.4826080589279167</v>
      </c>
      <c r="AA124">
        <f t="shared" ca="1" si="55"/>
        <v>2.7290831918748166</v>
      </c>
      <c r="AB124">
        <f t="shared" ca="1" si="56"/>
        <v>2.256157748746566</v>
      </c>
      <c r="AC124">
        <f t="shared" ca="1" si="57"/>
        <v>2.0370850385304511</v>
      </c>
      <c r="AD124">
        <f t="shared" ca="1" si="58"/>
        <v>1.668771812629547</v>
      </c>
      <c r="AE124">
        <f t="shared" ca="1" si="59"/>
        <v>1.6384790876133528</v>
      </c>
      <c r="AF124">
        <f t="shared" ca="1" si="60"/>
        <v>2.3001971492416171</v>
      </c>
      <c r="AG124">
        <f t="shared" ca="1" si="61"/>
        <v>3.1137221182762858</v>
      </c>
      <c r="AH124">
        <f t="shared" ca="1" si="62"/>
        <v>2.4356858152750638</v>
      </c>
      <c r="AI124">
        <f t="shared" ca="1" si="63"/>
        <v>4.929979760219207</v>
      </c>
      <c r="AJ124">
        <f t="shared" ca="1" si="64"/>
        <v>2.8369320485980301</v>
      </c>
      <c r="AK124">
        <f t="shared" ca="1" si="65"/>
        <v>2.6843754228148233</v>
      </c>
      <c r="AL124">
        <f t="shared" ca="1" si="66"/>
        <v>3.2622769122789288</v>
      </c>
      <c r="AM124">
        <f t="shared" ca="1" si="67"/>
        <v>3.3549489670383044</v>
      </c>
      <c r="AN124">
        <f t="shared" ca="1" si="68"/>
        <v>2.3673652808320029</v>
      </c>
      <c r="AO124">
        <f t="shared" ca="1" si="69"/>
        <v>2.6993323951945793</v>
      </c>
      <c r="AP124">
        <f t="shared" ca="1" si="70"/>
        <v>2.0889472891721654</v>
      </c>
      <c r="AQ124">
        <f t="shared" ca="1" si="71"/>
        <v>4.029363733017691</v>
      </c>
      <c r="AR124">
        <f t="shared" ca="1" si="72"/>
        <v>2.6750529877791216</v>
      </c>
      <c r="AS124">
        <f t="shared" ca="1" si="73"/>
        <v>4.3960454861093794</v>
      </c>
      <c r="AT124">
        <f t="shared" ca="1" si="74"/>
        <v>4.1474566038941525</v>
      </c>
      <c r="AU124">
        <f t="shared" ca="1" si="75"/>
        <v>3.8060045504833289</v>
      </c>
      <c r="AV124">
        <f t="shared" ca="1" si="76"/>
        <v>3.1284196582195354</v>
      </c>
      <c r="AW124">
        <f t="shared" ca="1" si="77"/>
        <v>2.6269631004331204</v>
      </c>
      <c r="AX124">
        <f t="shared" ca="1" si="78"/>
        <v>3.1323407530280685</v>
      </c>
      <c r="AY124">
        <f t="shared" ca="1" si="79"/>
        <v>2.570093698918984</v>
      </c>
      <c r="AZ124">
        <f t="shared" ca="1" si="80"/>
        <v>3.7762272174720146</v>
      </c>
    </row>
    <row r="125" spans="2:52" x14ac:dyDescent="0.35">
      <c r="B125" s="3">
        <v>45868</v>
      </c>
      <c r="C125" s="4">
        <v>293.39999389648398</v>
      </c>
      <c r="D125">
        <f t="shared" si="42"/>
        <v>-1.0510373531612155E-2</v>
      </c>
      <c r="L125" t="s">
        <v>220</v>
      </c>
      <c r="M125">
        <f t="shared" ca="1" si="81"/>
        <v>2.8029600636478289</v>
      </c>
      <c r="N125">
        <f t="shared" ca="1" si="82"/>
        <v>3.4467031016413667</v>
      </c>
      <c r="O125">
        <f t="shared" ca="1" si="43"/>
        <v>3.6365463701739467</v>
      </c>
      <c r="P125">
        <f t="shared" ca="1" si="44"/>
        <v>3.2435156885690484</v>
      </c>
      <c r="Q125">
        <f t="shared" ca="1" si="45"/>
        <v>1.8610584017035725</v>
      </c>
      <c r="R125">
        <f t="shared" ca="1" si="46"/>
        <v>2.9811103598868991</v>
      </c>
      <c r="S125">
        <f t="shared" ca="1" si="47"/>
        <v>2.7719464182558102</v>
      </c>
      <c r="T125">
        <f t="shared" ca="1" si="48"/>
        <v>3.6505958597079324</v>
      </c>
      <c r="U125">
        <f t="shared" ca="1" si="49"/>
        <v>4.5675452002542025</v>
      </c>
      <c r="V125">
        <f t="shared" ca="1" si="50"/>
        <v>2.9992173365319488</v>
      </c>
      <c r="W125">
        <f t="shared" ca="1" si="51"/>
        <v>2.2449306285491475</v>
      </c>
      <c r="X125">
        <f t="shared" ca="1" si="52"/>
        <v>2.3489900634781371</v>
      </c>
      <c r="Y125">
        <f t="shared" ca="1" si="53"/>
        <v>2.9133874887101578</v>
      </c>
      <c r="Z125">
        <f t="shared" ca="1" si="54"/>
        <v>3.5344891672748249</v>
      </c>
      <c r="AA125">
        <f t="shared" ca="1" si="55"/>
        <v>2.6983040019615991</v>
      </c>
      <c r="AB125">
        <f t="shared" ca="1" si="56"/>
        <v>2.3480371333184689</v>
      </c>
      <c r="AC125">
        <f t="shared" ca="1" si="57"/>
        <v>2.1408815781913226</v>
      </c>
      <c r="AD125">
        <f t="shared" ca="1" si="58"/>
        <v>1.6382278305941735</v>
      </c>
      <c r="AE125">
        <f t="shared" ca="1" si="59"/>
        <v>1.6457958689684342</v>
      </c>
      <c r="AF125">
        <f t="shared" ca="1" si="60"/>
        <v>2.3478366013538516</v>
      </c>
      <c r="AG125">
        <f t="shared" ca="1" si="61"/>
        <v>3.1368989800649958</v>
      </c>
      <c r="AH125">
        <f t="shared" ca="1" si="62"/>
        <v>2.3529990784202739</v>
      </c>
      <c r="AI125">
        <f t="shared" ca="1" si="63"/>
        <v>4.9628335358356637</v>
      </c>
      <c r="AJ125">
        <f t="shared" ca="1" si="64"/>
        <v>2.7012348466085632</v>
      </c>
      <c r="AK125">
        <f t="shared" ca="1" si="65"/>
        <v>2.7188261184442113</v>
      </c>
      <c r="AL125">
        <f t="shared" ca="1" si="66"/>
        <v>3.219388631194767</v>
      </c>
      <c r="AM125">
        <f t="shared" ca="1" si="67"/>
        <v>3.2183988019969334</v>
      </c>
      <c r="AN125">
        <f t="shared" ca="1" si="68"/>
        <v>2.3903692920177444</v>
      </c>
      <c r="AO125">
        <f t="shared" ca="1" si="69"/>
        <v>2.8603152326587922</v>
      </c>
      <c r="AP125">
        <f t="shared" ca="1" si="70"/>
        <v>2.0390341748756211</v>
      </c>
      <c r="AQ125">
        <f t="shared" ca="1" si="71"/>
        <v>4.2010798699544489</v>
      </c>
      <c r="AR125">
        <f t="shared" ca="1" si="72"/>
        <v>2.6774230097255658</v>
      </c>
      <c r="AS125">
        <f t="shared" ca="1" si="73"/>
        <v>4.3431779085775482</v>
      </c>
      <c r="AT125">
        <f t="shared" ca="1" si="74"/>
        <v>4.1835605505858195</v>
      </c>
      <c r="AU125">
        <f t="shared" ca="1" si="75"/>
        <v>3.808226614321593</v>
      </c>
      <c r="AV125">
        <f t="shared" ca="1" si="76"/>
        <v>3.1171776587963453</v>
      </c>
      <c r="AW125">
        <f t="shared" ca="1" si="77"/>
        <v>2.7621136799131989</v>
      </c>
      <c r="AX125">
        <f t="shared" ca="1" si="78"/>
        <v>3.1011728001861569</v>
      </c>
      <c r="AY125">
        <f t="shared" ca="1" si="79"/>
        <v>2.5451056661492939</v>
      </c>
      <c r="AZ125">
        <f t="shared" ca="1" si="80"/>
        <v>3.823912734906509</v>
      </c>
    </row>
    <row r="126" spans="2:52" x14ac:dyDescent="0.35">
      <c r="B126" s="3">
        <v>45869</v>
      </c>
      <c r="C126" s="4">
        <v>295.79998779296801</v>
      </c>
      <c r="D126">
        <f t="shared" si="42"/>
        <v>8.1466641026738257E-3</v>
      </c>
      <c r="L126" t="s">
        <v>221</v>
      </c>
      <c r="M126">
        <f t="shared" ca="1" si="81"/>
        <v>2.8128347805123677</v>
      </c>
      <c r="N126">
        <f t="shared" ca="1" si="82"/>
        <v>3.4153004159838649</v>
      </c>
      <c r="O126">
        <f t="shared" ca="1" si="43"/>
        <v>3.6973081044315048</v>
      </c>
      <c r="P126">
        <f t="shared" ca="1" si="44"/>
        <v>3.4591901946274697</v>
      </c>
      <c r="Q126">
        <f t="shared" ca="1" si="45"/>
        <v>1.8090569329816388</v>
      </c>
      <c r="R126">
        <f t="shared" ca="1" si="46"/>
        <v>2.9987323360509635</v>
      </c>
      <c r="S126">
        <f t="shared" ca="1" si="47"/>
        <v>2.787803116356288</v>
      </c>
      <c r="T126">
        <f t="shared" ca="1" si="48"/>
        <v>3.5867439780052544</v>
      </c>
      <c r="U126">
        <f t="shared" ca="1" si="49"/>
        <v>4.4475766438499473</v>
      </c>
      <c r="V126">
        <f t="shared" ca="1" si="50"/>
        <v>2.9307483652700848</v>
      </c>
      <c r="W126">
        <f t="shared" ca="1" si="51"/>
        <v>2.2398702545269416</v>
      </c>
      <c r="X126">
        <f t="shared" ca="1" si="52"/>
        <v>2.3730744501884411</v>
      </c>
      <c r="Y126">
        <f t="shared" ca="1" si="53"/>
        <v>2.875693418906561</v>
      </c>
      <c r="Z126">
        <f t="shared" ca="1" si="54"/>
        <v>3.3471316974341971</v>
      </c>
      <c r="AA126">
        <f t="shared" ca="1" si="55"/>
        <v>2.6667824396820707</v>
      </c>
      <c r="AB126">
        <f t="shared" ca="1" si="56"/>
        <v>2.358499651056988</v>
      </c>
      <c r="AC126">
        <f t="shared" ca="1" si="57"/>
        <v>2.1538686907917142</v>
      </c>
      <c r="AD126">
        <f t="shared" ca="1" si="58"/>
        <v>1.6260774464325705</v>
      </c>
      <c r="AE126">
        <f t="shared" ca="1" si="59"/>
        <v>1.618031638257589</v>
      </c>
      <c r="AF126">
        <f t="shared" ca="1" si="60"/>
        <v>2.4198965241712518</v>
      </c>
      <c r="AG126">
        <f t="shared" ca="1" si="61"/>
        <v>3.2755466070996144</v>
      </c>
      <c r="AH126">
        <f t="shared" ca="1" si="62"/>
        <v>2.3870829581060655</v>
      </c>
      <c r="AI126">
        <f t="shared" ca="1" si="63"/>
        <v>4.9738183365412594</v>
      </c>
      <c r="AJ126">
        <f t="shared" ca="1" si="64"/>
        <v>2.7859750507141987</v>
      </c>
      <c r="AK126">
        <f t="shared" ca="1" si="65"/>
        <v>2.7567605658869176</v>
      </c>
      <c r="AL126">
        <f t="shared" ca="1" si="66"/>
        <v>3.301931135552409</v>
      </c>
      <c r="AM126">
        <f t="shared" ca="1" si="67"/>
        <v>3.32313852223148</v>
      </c>
      <c r="AN126">
        <f t="shared" ca="1" si="68"/>
        <v>2.451291360753026</v>
      </c>
      <c r="AO126">
        <f t="shared" ca="1" si="69"/>
        <v>2.8509942399982657</v>
      </c>
      <c r="AP126">
        <f t="shared" ca="1" si="70"/>
        <v>2.001146435772319</v>
      </c>
      <c r="AQ126">
        <f t="shared" ca="1" si="71"/>
        <v>4.2050663758625975</v>
      </c>
      <c r="AR126">
        <f t="shared" ca="1" si="72"/>
        <v>2.7369909651857509</v>
      </c>
      <c r="AS126">
        <f t="shared" ca="1" si="73"/>
        <v>4.2080909047086266</v>
      </c>
      <c r="AT126">
        <f t="shared" ca="1" si="74"/>
        <v>4.2098747647043027</v>
      </c>
      <c r="AU126">
        <f t="shared" ca="1" si="75"/>
        <v>3.8478103649875108</v>
      </c>
      <c r="AV126">
        <f t="shared" ca="1" si="76"/>
        <v>3.1033303386075248</v>
      </c>
      <c r="AW126">
        <f t="shared" ca="1" si="77"/>
        <v>2.7531425130892364</v>
      </c>
      <c r="AX126">
        <f t="shared" ca="1" si="78"/>
        <v>3.1632382655918905</v>
      </c>
      <c r="AY126">
        <f t="shared" ca="1" si="79"/>
        <v>2.5020951933050002</v>
      </c>
      <c r="AZ126">
        <f t="shared" ca="1" si="80"/>
        <v>3.8404156413206709</v>
      </c>
    </row>
    <row r="127" spans="2:52" x14ac:dyDescent="0.35">
      <c r="B127" s="3">
        <v>45870</v>
      </c>
      <c r="C127" s="4">
        <v>284.20001220703102</v>
      </c>
      <c r="D127">
        <f t="shared" si="42"/>
        <v>-4.0005250393587127E-2</v>
      </c>
      <c r="L127" t="s">
        <v>222</v>
      </c>
      <c r="M127">
        <f t="shared" ca="1" si="81"/>
        <v>2.8593761850937098</v>
      </c>
      <c r="N127">
        <f t="shared" ca="1" si="82"/>
        <v>3.3951734937689499</v>
      </c>
      <c r="O127">
        <f t="shared" ca="1" si="43"/>
        <v>3.7569619786558697</v>
      </c>
      <c r="P127">
        <f t="shared" ca="1" si="44"/>
        <v>3.5288373085429727</v>
      </c>
      <c r="Q127">
        <f t="shared" ca="1" si="45"/>
        <v>1.8240132645957758</v>
      </c>
      <c r="R127">
        <f t="shared" ca="1" si="46"/>
        <v>2.9516057630875534</v>
      </c>
      <c r="S127">
        <f t="shared" ca="1" si="47"/>
        <v>2.7738610848907417</v>
      </c>
      <c r="T127">
        <f t="shared" ca="1" si="48"/>
        <v>3.8725687251633483</v>
      </c>
      <c r="U127">
        <f t="shared" ca="1" si="49"/>
        <v>4.4957211804597392</v>
      </c>
      <c r="V127">
        <f t="shared" ca="1" si="50"/>
        <v>2.724926793601322</v>
      </c>
      <c r="W127">
        <f t="shared" ca="1" si="51"/>
        <v>2.178534457405231</v>
      </c>
      <c r="X127">
        <f t="shared" ca="1" si="52"/>
        <v>2.3633548508875459</v>
      </c>
      <c r="Y127">
        <f t="shared" ca="1" si="53"/>
        <v>2.8035542252376029</v>
      </c>
      <c r="Z127">
        <f t="shared" ca="1" si="54"/>
        <v>3.3516955219533129</v>
      </c>
      <c r="AA127">
        <f t="shared" ca="1" si="55"/>
        <v>2.5862106812926915</v>
      </c>
      <c r="AB127">
        <f t="shared" ca="1" si="56"/>
        <v>2.3057044131820446</v>
      </c>
      <c r="AC127">
        <f t="shared" ca="1" si="57"/>
        <v>2.1356280799764464</v>
      </c>
      <c r="AD127">
        <f t="shared" ca="1" si="58"/>
        <v>1.5641772216172445</v>
      </c>
      <c r="AE127">
        <f t="shared" ca="1" si="59"/>
        <v>1.5758193467717543</v>
      </c>
      <c r="AF127">
        <f t="shared" ca="1" si="60"/>
        <v>2.4572166478175963</v>
      </c>
      <c r="AG127">
        <f t="shared" ca="1" si="61"/>
        <v>3.4106719082039065</v>
      </c>
      <c r="AH127">
        <f t="shared" ca="1" si="62"/>
        <v>2.3591970085934957</v>
      </c>
      <c r="AI127">
        <f t="shared" ca="1" si="63"/>
        <v>4.8755445647920101</v>
      </c>
      <c r="AJ127">
        <f t="shared" ca="1" si="64"/>
        <v>2.804741722606483</v>
      </c>
      <c r="AK127">
        <f t="shared" ca="1" si="65"/>
        <v>2.8032978555681525</v>
      </c>
      <c r="AL127">
        <f t="shared" ca="1" si="66"/>
        <v>3.1960747390381203</v>
      </c>
      <c r="AM127">
        <f t="shared" ca="1" si="67"/>
        <v>3.3561104106741921</v>
      </c>
      <c r="AN127">
        <f t="shared" ca="1" si="68"/>
        <v>2.4694966145404331</v>
      </c>
      <c r="AO127">
        <f t="shared" ca="1" si="69"/>
        <v>2.8699266278154858</v>
      </c>
      <c r="AP127">
        <f t="shared" ca="1" si="70"/>
        <v>2.033840041353101</v>
      </c>
      <c r="AQ127">
        <f t="shared" ca="1" si="71"/>
        <v>4.114800456299049</v>
      </c>
      <c r="AR127">
        <f t="shared" ca="1" si="72"/>
        <v>2.7133318608497206</v>
      </c>
      <c r="AS127">
        <f t="shared" ca="1" si="73"/>
        <v>4.3187399497073331</v>
      </c>
      <c r="AT127">
        <f t="shared" ca="1" si="74"/>
        <v>4.3483518323206614</v>
      </c>
      <c r="AU127">
        <f t="shared" ca="1" si="75"/>
        <v>4.0459109625762091</v>
      </c>
      <c r="AV127">
        <f t="shared" ca="1" si="76"/>
        <v>3.1417277982007015</v>
      </c>
      <c r="AW127">
        <f t="shared" ca="1" si="77"/>
        <v>2.823893573468772</v>
      </c>
      <c r="AX127">
        <f t="shared" ca="1" si="78"/>
        <v>3.2321598205661024</v>
      </c>
      <c r="AY127">
        <f t="shared" ca="1" si="79"/>
        <v>2.5369603281218556</v>
      </c>
      <c r="AZ127">
        <f t="shared" ca="1" si="80"/>
        <v>3.7020455504198342</v>
      </c>
    </row>
    <row r="128" spans="2:52" x14ac:dyDescent="0.35">
      <c r="B128" s="3">
        <v>45873</v>
      </c>
      <c r="C128" s="4">
        <v>288.54998779296801</v>
      </c>
      <c r="D128">
        <f t="shared" si="42"/>
        <v>1.5190080236982133E-2</v>
      </c>
      <c r="L128" t="s">
        <v>223</v>
      </c>
      <c r="M128">
        <f t="shared" ca="1" si="81"/>
        <v>2.750220727056039</v>
      </c>
      <c r="N128">
        <f t="shared" ca="1" si="82"/>
        <v>3.4707600935194471</v>
      </c>
      <c r="O128">
        <f t="shared" ca="1" si="43"/>
        <v>3.5555498121832767</v>
      </c>
      <c r="P128">
        <f t="shared" ca="1" si="44"/>
        <v>3.5518236283421496</v>
      </c>
      <c r="Q128">
        <f t="shared" ca="1" si="45"/>
        <v>1.7691703230827678</v>
      </c>
      <c r="R128">
        <f t="shared" ca="1" si="46"/>
        <v>2.9145312046989504</v>
      </c>
      <c r="S128">
        <f t="shared" ca="1" si="47"/>
        <v>2.8889184880365102</v>
      </c>
      <c r="T128">
        <f t="shared" ca="1" si="48"/>
        <v>3.9628983760119403</v>
      </c>
      <c r="U128">
        <f t="shared" ca="1" si="49"/>
        <v>4.710246151510538</v>
      </c>
      <c r="V128">
        <f t="shared" ca="1" si="50"/>
        <v>2.7316572545708691</v>
      </c>
      <c r="W128">
        <f t="shared" ca="1" si="51"/>
        <v>2.2851443969868566</v>
      </c>
      <c r="X128">
        <f t="shared" ca="1" si="52"/>
        <v>2.3332679779130348</v>
      </c>
      <c r="Y128">
        <f t="shared" ca="1" si="53"/>
        <v>2.842449632989287</v>
      </c>
      <c r="Z128">
        <f t="shared" ca="1" si="54"/>
        <v>3.3416591293229998</v>
      </c>
      <c r="AA128">
        <f t="shared" ca="1" si="55"/>
        <v>2.5650374685544741</v>
      </c>
      <c r="AB128">
        <f t="shared" ca="1" si="56"/>
        <v>2.4081824508274066</v>
      </c>
      <c r="AC128">
        <f t="shared" ca="1" si="57"/>
        <v>2.1415812589547083</v>
      </c>
      <c r="AD128">
        <f t="shared" ca="1" si="58"/>
        <v>1.5692659089887744</v>
      </c>
      <c r="AE128">
        <f t="shared" ca="1" si="59"/>
        <v>1.5692346015974703</v>
      </c>
      <c r="AF128">
        <f t="shared" ca="1" si="60"/>
        <v>2.5284814515866691</v>
      </c>
      <c r="AG128">
        <f t="shared" ca="1" si="61"/>
        <v>3.4958896270593427</v>
      </c>
      <c r="AH128">
        <f t="shared" ca="1" si="62"/>
        <v>2.294661448684161</v>
      </c>
      <c r="AI128">
        <f t="shared" ca="1" si="63"/>
        <v>4.9149516461266396</v>
      </c>
      <c r="AJ128">
        <f t="shared" ca="1" si="64"/>
        <v>2.8102709035709084</v>
      </c>
      <c r="AK128">
        <f t="shared" ca="1" si="65"/>
        <v>2.8468738364607558</v>
      </c>
      <c r="AL128">
        <f t="shared" ca="1" si="66"/>
        <v>3.2238281629810972</v>
      </c>
      <c r="AM128">
        <f t="shared" ca="1" si="67"/>
        <v>3.2460020845959621</v>
      </c>
      <c r="AN128">
        <f t="shared" ca="1" si="68"/>
        <v>2.5261011079400371</v>
      </c>
      <c r="AO128">
        <f t="shared" ca="1" si="69"/>
        <v>2.9134492490991697</v>
      </c>
      <c r="AP128">
        <f t="shared" ca="1" si="70"/>
        <v>2.1004434965127592</v>
      </c>
      <c r="AQ128">
        <f t="shared" ca="1" si="71"/>
        <v>4.0319675087565088</v>
      </c>
      <c r="AR128">
        <f t="shared" ca="1" si="72"/>
        <v>2.9073925674320615</v>
      </c>
      <c r="AS128">
        <f t="shared" ca="1" si="73"/>
        <v>4.3650474122111689</v>
      </c>
      <c r="AT128">
        <f t="shared" ca="1" si="74"/>
        <v>4.5879504295829925</v>
      </c>
      <c r="AU128">
        <f t="shared" ca="1" si="75"/>
        <v>3.9048065400236576</v>
      </c>
      <c r="AV128">
        <f t="shared" ca="1" si="76"/>
        <v>3.2092126144130328</v>
      </c>
      <c r="AW128">
        <f t="shared" ca="1" si="77"/>
        <v>2.8247253452339001</v>
      </c>
      <c r="AX128">
        <f t="shared" ca="1" si="78"/>
        <v>3.25074951228761</v>
      </c>
      <c r="AY128">
        <f t="shared" ca="1" si="79"/>
        <v>2.5879414615876128</v>
      </c>
      <c r="AZ128">
        <f t="shared" ca="1" si="80"/>
        <v>3.5855211731610566</v>
      </c>
    </row>
    <row r="129" spans="2:52" x14ac:dyDescent="0.35">
      <c r="B129" s="3">
        <v>45874</v>
      </c>
      <c r="C129" s="4">
        <v>298.70001220703102</v>
      </c>
      <c r="D129">
        <f t="shared" si="42"/>
        <v>3.4571427237020801E-2</v>
      </c>
      <c r="L129" t="s">
        <v>224</v>
      </c>
      <c r="M129">
        <f t="shared" ca="1" si="81"/>
        <v>2.624664385509889</v>
      </c>
      <c r="N129">
        <f t="shared" ca="1" si="82"/>
        <v>3.5598247954205609</v>
      </c>
      <c r="O129">
        <f t="shared" ca="1" si="43"/>
        <v>3.6405221292462393</v>
      </c>
      <c r="P129">
        <f t="shared" ca="1" si="44"/>
        <v>3.6224885217521363</v>
      </c>
      <c r="Q129">
        <f t="shared" ca="1" si="45"/>
        <v>1.7352177979639647</v>
      </c>
      <c r="R129">
        <f t="shared" ca="1" si="46"/>
        <v>2.8409318213755013</v>
      </c>
      <c r="S129">
        <f t="shared" ca="1" si="47"/>
        <v>2.893674267609645</v>
      </c>
      <c r="T129">
        <f t="shared" ca="1" si="48"/>
        <v>4.0107240135417186</v>
      </c>
      <c r="U129">
        <f t="shared" ca="1" si="49"/>
        <v>4.8634774512399481</v>
      </c>
      <c r="V129">
        <f t="shared" ca="1" si="50"/>
        <v>2.6480364237517855</v>
      </c>
      <c r="W129">
        <f t="shared" ca="1" si="51"/>
        <v>2.2718087098930497</v>
      </c>
      <c r="X129">
        <f t="shared" ca="1" si="52"/>
        <v>2.333168935003981</v>
      </c>
      <c r="Y129">
        <f t="shared" ca="1" si="53"/>
        <v>2.7904356981180132</v>
      </c>
      <c r="Z129">
        <f t="shared" ca="1" si="54"/>
        <v>3.2582534725750851</v>
      </c>
      <c r="AA129">
        <f t="shared" ca="1" si="55"/>
        <v>2.5858007487463741</v>
      </c>
      <c r="AB129">
        <f t="shared" ca="1" si="56"/>
        <v>2.4263135300319623</v>
      </c>
      <c r="AC129">
        <f t="shared" ca="1" si="57"/>
        <v>2.1462775414413788</v>
      </c>
      <c r="AD129">
        <f t="shared" ca="1" si="58"/>
        <v>1.5815628557030579</v>
      </c>
      <c r="AE129">
        <f t="shared" ca="1" si="59"/>
        <v>1.6278805317486222</v>
      </c>
      <c r="AF129">
        <f t="shared" ca="1" si="60"/>
        <v>2.4552056029552816</v>
      </c>
      <c r="AG129">
        <f t="shared" ca="1" si="61"/>
        <v>3.5733641409756851</v>
      </c>
      <c r="AH129">
        <f t="shared" ca="1" si="62"/>
        <v>2.2246507435344363</v>
      </c>
      <c r="AI129">
        <f t="shared" ca="1" si="63"/>
        <v>4.7271180977402123</v>
      </c>
      <c r="AJ129">
        <f t="shared" ca="1" si="64"/>
        <v>2.9306271585268111</v>
      </c>
      <c r="AK129">
        <f t="shared" ca="1" si="65"/>
        <v>2.6953398778647282</v>
      </c>
      <c r="AL129">
        <f t="shared" ca="1" si="66"/>
        <v>3.1945480708677216</v>
      </c>
      <c r="AM129">
        <f t="shared" ca="1" si="67"/>
        <v>3.1734389293649476</v>
      </c>
      <c r="AN129">
        <f t="shared" ca="1" si="68"/>
        <v>2.5202342792710968</v>
      </c>
      <c r="AO129">
        <f t="shared" ca="1" si="69"/>
        <v>2.9965347901333081</v>
      </c>
      <c r="AP129">
        <f t="shared" ca="1" si="70"/>
        <v>2.1588264346592316</v>
      </c>
      <c r="AQ129">
        <f t="shared" ca="1" si="71"/>
        <v>3.8984205313702818</v>
      </c>
      <c r="AR129">
        <f t="shared" ca="1" si="72"/>
        <v>2.9221671210646156</v>
      </c>
      <c r="AS129">
        <f t="shared" ca="1" si="73"/>
        <v>4.4136763864397492</v>
      </c>
      <c r="AT129">
        <f t="shared" ca="1" si="74"/>
        <v>4.7599369425156919</v>
      </c>
      <c r="AU129">
        <f t="shared" ca="1" si="75"/>
        <v>3.869492437004435</v>
      </c>
      <c r="AV129">
        <f t="shared" ca="1" si="76"/>
        <v>3.2083929884681894</v>
      </c>
      <c r="AW129">
        <f t="shared" ca="1" si="77"/>
        <v>2.7251729804258304</v>
      </c>
      <c r="AX129">
        <f t="shared" ca="1" si="78"/>
        <v>3.1598564724961742</v>
      </c>
      <c r="AY129">
        <f t="shared" ca="1" si="79"/>
        <v>2.5444715704763592</v>
      </c>
      <c r="AZ129">
        <f t="shared" ca="1" si="80"/>
        <v>3.6111782496059983</v>
      </c>
    </row>
    <row r="130" spans="2:52" x14ac:dyDescent="0.35">
      <c r="B130" s="3">
        <v>45875</v>
      </c>
      <c r="C130" s="4">
        <v>293.39999389648398</v>
      </c>
      <c r="D130">
        <f t="shared" si="42"/>
        <v>-1.7902921183089882E-2</v>
      </c>
      <c r="L130" t="s">
        <v>225</v>
      </c>
      <c r="M130">
        <f t="shared" ca="1" si="81"/>
        <v>2.6186660589969315</v>
      </c>
      <c r="N130">
        <f t="shared" ca="1" si="82"/>
        <v>3.4624735213564168</v>
      </c>
      <c r="O130">
        <f t="shared" ca="1" si="43"/>
        <v>3.6747175034964288</v>
      </c>
      <c r="P130">
        <f t="shared" ca="1" si="44"/>
        <v>3.5723997491306076</v>
      </c>
      <c r="Q130">
        <f t="shared" ca="1" si="45"/>
        <v>1.7622248868095953</v>
      </c>
      <c r="R130">
        <f t="shared" ca="1" si="46"/>
        <v>2.9037431490746601</v>
      </c>
      <c r="S130">
        <f t="shared" ca="1" si="47"/>
        <v>2.8439694644238767</v>
      </c>
      <c r="T130">
        <f t="shared" ca="1" si="48"/>
        <v>4.0116885275362417</v>
      </c>
      <c r="U130">
        <f t="shared" ca="1" si="49"/>
        <v>4.9787818094553842</v>
      </c>
      <c r="V130">
        <f t="shared" ca="1" si="50"/>
        <v>2.6718170612941448</v>
      </c>
      <c r="W130">
        <f t="shared" ca="1" si="51"/>
        <v>2.2347557954254471</v>
      </c>
      <c r="X130">
        <f t="shared" ca="1" si="52"/>
        <v>2.3541680183369778</v>
      </c>
      <c r="Y130">
        <f t="shared" ca="1" si="53"/>
        <v>2.7158105844541929</v>
      </c>
      <c r="Z130">
        <f t="shared" ca="1" si="54"/>
        <v>3.2358661837931142</v>
      </c>
      <c r="AA130">
        <f t="shared" ca="1" si="55"/>
        <v>2.6800173369808125</v>
      </c>
      <c r="AB130">
        <f t="shared" ca="1" si="56"/>
        <v>2.3871241914226671</v>
      </c>
      <c r="AC130">
        <f t="shared" ca="1" si="57"/>
        <v>2.1515632939964666</v>
      </c>
      <c r="AD130">
        <f t="shared" ca="1" si="58"/>
        <v>1.6205448743877038</v>
      </c>
      <c r="AE130">
        <f t="shared" ca="1" si="59"/>
        <v>1.5737260346942363</v>
      </c>
      <c r="AF130">
        <f t="shared" ca="1" si="60"/>
        <v>2.4550494596219408</v>
      </c>
      <c r="AG130">
        <f t="shared" ca="1" si="61"/>
        <v>3.505314341592713</v>
      </c>
      <c r="AH130">
        <f t="shared" ca="1" si="62"/>
        <v>2.2446439003408463</v>
      </c>
      <c r="AI130">
        <f t="shared" ca="1" si="63"/>
        <v>4.96315389257696</v>
      </c>
      <c r="AJ130">
        <f t="shared" ca="1" si="64"/>
        <v>2.831338561342438</v>
      </c>
      <c r="AK130">
        <f t="shared" ca="1" si="65"/>
        <v>2.6901884034026211</v>
      </c>
      <c r="AL130">
        <f t="shared" ca="1" si="66"/>
        <v>3.2763832813044012</v>
      </c>
      <c r="AM130">
        <f t="shared" ca="1" si="67"/>
        <v>3.0463047191377335</v>
      </c>
      <c r="AN130">
        <f t="shared" ca="1" si="68"/>
        <v>2.5906114876367679</v>
      </c>
      <c r="AO130">
        <f t="shared" ca="1" si="69"/>
        <v>2.9127138077592947</v>
      </c>
      <c r="AP130">
        <f t="shared" ca="1" si="70"/>
        <v>2.1821262734167659</v>
      </c>
      <c r="AQ130">
        <f t="shared" ca="1" si="71"/>
        <v>3.7607777122223336</v>
      </c>
      <c r="AR130">
        <f t="shared" ca="1" si="72"/>
        <v>2.9764737127048364</v>
      </c>
      <c r="AS130">
        <f t="shared" ca="1" si="73"/>
        <v>4.3638234941548628</v>
      </c>
      <c r="AT130">
        <f t="shared" ca="1" si="74"/>
        <v>4.5700730776890914</v>
      </c>
      <c r="AU130">
        <f t="shared" ca="1" si="75"/>
        <v>3.984496964066035</v>
      </c>
      <c r="AV130">
        <f t="shared" ca="1" si="76"/>
        <v>3.2694775164662184</v>
      </c>
      <c r="AW130">
        <f t="shared" ca="1" si="77"/>
        <v>2.6836285519973191</v>
      </c>
      <c r="AX130">
        <f t="shared" ca="1" si="78"/>
        <v>3.1254792914412652</v>
      </c>
      <c r="AY130">
        <f t="shared" ca="1" si="79"/>
        <v>2.4501771184562937</v>
      </c>
      <c r="AZ130">
        <f t="shared" ca="1" si="80"/>
        <v>3.5085496476179507</v>
      </c>
    </row>
    <row r="131" spans="2:52" x14ac:dyDescent="0.35">
      <c r="B131" s="3">
        <v>45876</v>
      </c>
      <c r="C131" s="4">
        <v>297.79998779296801</v>
      </c>
      <c r="D131">
        <f t="shared" si="42"/>
        <v>1.4885234353034609E-2</v>
      </c>
    </row>
    <row r="132" spans="2:52" x14ac:dyDescent="0.35">
      <c r="B132" s="3">
        <v>45877</v>
      </c>
      <c r="C132" s="4">
        <v>309.350006103515</v>
      </c>
      <c r="D132">
        <f t="shared" si="42"/>
        <v>3.805126244792259E-2</v>
      </c>
    </row>
    <row r="133" spans="2:52" x14ac:dyDescent="0.35">
      <c r="B133" s="3">
        <v>45880</v>
      </c>
      <c r="C133" s="4">
        <v>320.70001220703102</v>
      </c>
      <c r="D133">
        <f t="shared" si="42"/>
        <v>3.6032803055690801E-2</v>
      </c>
    </row>
    <row r="134" spans="2:52" x14ac:dyDescent="0.35">
      <c r="B134" s="3">
        <v>45881</v>
      </c>
      <c r="C134" s="4">
        <v>315.14999389648398</v>
      </c>
      <c r="D134">
        <f t="shared" ref="D134:D197" si="83">LN(C134/C133)</f>
        <v>-1.7457448170716122E-2</v>
      </c>
    </row>
    <row r="135" spans="2:52" x14ac:dyDescent="0.35">
      <c r="B135" s="3">
        <v>45882</v>
      </c>
      <c r="C135" s="4">
        <v>319.600006103515</v>
      </c>
      <c r="D135">
        <f t="shared" si="83"/>
        <v>1.4021536397375522E-2</v>
      </c>
    </row>
    <row r="136" spans="2:52" x14ac:dyDescent="0.35">
      <c r="B136" s="3">
        <v>45883</v>
      </c>
      <c r="C136" s="4">
        <v>326.5</v>
      </c>
      <c r="D136">
        <f t="shared" si="83"/>
        <v>2.1359715727010287E-2</v>
      </c>
    </row>
    <row r="137" spans="2:52" x14ac:dyDescent="0.35">
      <c r="B137" s="3">
        <v>45884</v>
      </c>
      <c r="C137" s="4">
        <v>341.64999389648398</v>
      </c>
      <c r="D137">
        <f t="shared" si="83"/>
        <v>4.5356854645480581E-2</v>
      </c>
    </row>
    <row r="138" spans="2:52" x14ac:dyDescent="0.35">
      <c r="B138" s="3">
        <v>45887</v>
      </c>
      <c r="C138" s="4">
        <v>343.600006103515</v>
      </c>
      <c r="D138">
        <f t="shared" si="83"/>
        <v>5.6914045115650496E-3</v>
      </c>
    </row>
    <row r="139" spans="2:52" x14ac:dyDescent="0.35">
      <c r="B139" s="3">
        <v>45888</v>
      </c>
      <c r="C139" s="4">
        <v>356.20001220703102</v>
      </c>
      <c r="D139">
        <f t="shared" si="83"/>
        <v>3.601419725218942E-2</v>
      </c>
    </row>
    <row r="140" spans="2:52" x14ac:dyDescent="0.35">
      <c r="B140" s="3">
        <v>45889</v>
      </c>
      <c r="C140" s="4">
        <v>360.25</v>
      </c>
      <c r="D140">
        <f t="shared" si="83"/>
        <v>1.1305829753910724E-2</v>
      </c>
    </row>
    <row r="141" spans="2:52" x14ac:dyDescent="0.35">
      <c r="B141" s="3">
        <v>45890</v>
      </c>
      <c r="C141" s="4">
        <v>375.25</v>
      </c>
      <c r="D141">
        <f t="shared" si="83"/>
        <v>4.0794235633939871E-2</v>
      </c>
    </row>
    <row r="142" spans="2:52" x14ac:dyDescent="0.35">
      <c r="B142" s="3">
        <v>45891</v>
      </c>
      <c r="C142" s="4">
        <v>390.64999389648398</v>
      </c>
      <c r="D142">
        <f t="shared" si="83"/>
        <v>4.0219532305180751E-2</v>
      </c>
    </row>
    <row r="143" spans="2:52" x14ac:dyDescent="0.35">
      <c r="B143" s="3">
        <v>45894</v>
      </c>
      <c r="C143" s="4">
        <v>389.95001220703102</v>
      </c>
      <c r="D143">
        <f t="shared" si="83"/>
        <v>-1.7934457381526419E-3</v>
      </c>
    </row>
    <row r="144" spans="2:52" x14ac:dyDescent="0.35">
      <c r="B144" s="3">
        <v>45895</v>
      </c>
      <c r="C144" s="4">
        <v>384.04998779296801</v>
      </c>
      <c r="D144">
        <f t="shared" si="83"/>
        <v>-1.5245836420916136E-2</v>
      </c>
    </row>
    <row r="145" spans="2:4" x14ac:dyDescent="0.35">
      <c r="B145" s="3">
        <v>45896</v>
      </c>
      <c r="C145" s="4">
        <v>393.79998779296801</v>
      </c>
      <c r="D145">
        <f t="shared" si="83"/>
        <v>2.5070414547291635E-2</v>
      </c>
    </row>
    <row r="146" spans="2:4" x14ac:dyDescent="0.35">
      <c r="B146" s="3">
        <v>45897</v>
      </c>
      <c r="C146" s="4">
        <v>387.75</v>
      </c>
      <c r="D146">
        <f t="shared" si="83"/>
        <v>-1.5482333150326696E-2</v>
      </c>
    </row>
    <row r="147" spans="2:4" x14ac:dyDescent="0.35">
      <c r="B147" s="3">
        <v>45898</v>
      </c>
      <c r="C147" s="4">
        <v>396.850006103515</v>
      </c>
      <c r="D147">
        <f t="shared" si="83"/>
        <v>2.3197588860140572E-2</v>
      </c>
    </row>
    <row r="148" spans="2:4" x14ac:dyDescent="0.35">
      <c r="B148" s="3">
        <v>45902</v>
      </c>
      <c r="C148" s="4">
        <v>382.20001220703102</v>
      </c>
      <c r="D148">
        <f t="shared" si="83"/>
        <v>-3.7614327171759887E-2</v>
      </c>
    </row>
    <row r="149" spans="2:4" x14ac:dyDescent="0.35">
      <c r="B149" s="3">
        <v>45903</v>
      </c>
      <c r="C149" s="4">
        <v>385.25</v>
      </c>
      <c r="D149">
        <f t="shared" si="83"/>
        <v>7.9484104551963437E-3</v>
      </c>
    </row>
    <row r="150" spans="2:4" x14ac:dyDescent="0.35">
      <c r="B150" s="3">
        <v>45904</v>
      </c>
      <c r="C150" s="4">
        <v>385.75</v>
      </c>
      <c r="D150">
        <f t="shared" si="83"/>
        <v>1.2970170430450251E-3</v>
      </c>
    </row>
    <row r="151" spans="2:4" x14ac:dyDescent="0.35">
      <c r="B151" s="3">
        <v>45905</v>
      </c>
      <c r="C151" s="4">
        <v>385.600006103515</v>
      </c>
      <c r="D151">
        <f t="shared" si="83"/>
        <v>-3.8891267826204906E-4</v>
      </c>
    </row>
    <row r="152" spans="2:4" x14ac:dyDescent="0.35">
      <c r="B152" s="3">
        <v>45908</v>
      </c>
      <c r="C152" s="4">
        <v>397.79998779296801</v>
      </c>
      <c r="D152">
        <f t="shared" si="83"/>
        <v>3.1148757168508161E-2</v>
      </c>
    </row>
    <row r="153" spans="2:4" x14ac:dyDescent="0.35">
      <c r="B153" s="3">
        <v>45909</v>
      </c>
      <c r="C153" s="4">
        <v>393</v>
      </c>
      <c r="D153">
        <f t="shared" si="83"/>
        <v>-1.2139723864255157E-2</v>
      </c>
    </row>
    <row r="154" spans="2:4" x14ac:dyDescent="0.35">
      <c r="B154" s="3">
        <v>45910</v>
      </c>
      <c r="C154" s="4">
        <v>401</v>
      </c>
      <c r="D154">
        <f t="shared" si="83"/>
        <v>2.0151815437307912E-2</v>
      </c>
    </row>
    <row r="155" spans="2:4" x14ac:dyDescent="0.35">
      <c r="B155" s="3">
        <v>45911</v>
      </c>
      <c r="C155" s="4">
        <v>400.04998779296801</v>
      </c>
      <c r="D155">
        <f t="shared" si="83"/>
        <v>-2.3719185242024069E-3</v>
      </c>
    </row>
    <row r="156" spans="2:4" x14ac:dyDescent="0.35">
      <c r="B156" s="3">
        <v>45912</v>
      </c>
      <c r="C156" s="4">
        <v>410.64999389648398</v>
      </c>
      <c r="D156">
        <f t="shared" si="83"/>
        <v>2.6151746540773346E-2</v>
      </c>
    </row>
    <row r="157" spans="2:4" x14ac:dyDescent="0.35">
      <c r="B157" s="3">
        <v>45915</v>
      </c>
      <c r="C157" s="4">
        <v>432.350006103515</v>
      </c>
      <c r="D157">
        <f t="shared" si="83"/>
        <v>5.1494204200368425E-2</v>
      </c>
    </row>
    <row r="158" spans="2:4" x14ac:dyDescent="0.35">
      <c r="B158" s="3">
        <v>45916</v>
      </c>
      <c r="C158" s="4">
        <v>422.25</v>
      </c>
      <c r="D158">
        <f t="shared" si="83"/>
        <v>-2.3637903835599199E-2</v>
      </c>
    </row>
    <row r="159" spans="2:4" x14ac:dyDescent="0.35">
      <c r="B159" s="3">
        <v>45917</v>
      </c>
      <c r="C159" s="4">
        <v>388.54998779296801</v>
      </c>
      <c r="D159">
        <f t="shared" si="83"/>
        <v>-8.3175725449547086E-2</v>
      </c>
    </row>
    <row r="160" spans="2:4" x14ac:dyDescent="0.35">
      <c r="B160" s="3">
        <v>45918</v>
      </c>
      <c r="C160" s="4">
        <v>385.850006103515</v>
      </c>
      <c r="D160">
        <f t="shared" si="83"/>
        <v>-6.9731215163883163E-3</v>
      </c>
    </row>
    <row r="161" spans="2:4" x14ac:dyDescent="0.35">
      <c r="B161" s="3">
        <v>45919</v>
      </c>
      <c r="C161" s="4">
        <v>366.5</v>
      </c>
      <c r="D161">
        <f t="shared" si="83"/>
        <v>-5.1450187395267792E-2</v>
      </c>
    </row>
    <row r="162" spans="2:4" x14ac:dyDescent="0.35">
      <c r="B162" s="3">
        <v>45922</v>
      </c>
      <c r="C162" s="4">
        <v>367.350006103515</v>
      </c>
      <c r="D162">
        <f t="shared" si="83"/>
        <v>2.3165673545657143E-3</v>
      </c>
    </row>
    <row r="163" spans="2:4" x14ac:dyDescent="0.35">
      <c r="B163" s="3">
        <v>45923</v>
      </c>
      <c r="C163" s="4">
        <v>350.14999389648398</v>
      </c>
      <c r="D163">
        <f t="shared" si="83"/>
        <v>-4.7953472010892173E-2</v>
      </c>
    </row>
    <row r="164" spans="2:4" x14ac:dyDescent="0.35">
      <c r="B164" s="3">
        <v>45924</v>
      </c>
      <c r="C164" s="4">
        <v>367.75</v>
      </c>
      <c r="D164">
        <f t="shared" si="83"/>
        <v>4.9041742811167022E-2</v>
      </c>
    </row>
    <row r="165" spans="2:4" x14ac:dyDescent="0.35">
      <c r="B165" s="3">
        <v>45925</v>
      </c>
      <c r="C165" s="4">
        <v>371.350006103515</v>
      </c>
      <c r="D165">
        <f t="shared" si="83"/>
        <v>9.7416710697756544E-3</v>
      </c>
    </row>
    <row r="166" spans="2:4" x14ac:dyDescent="0.35">
      <c r="B166" s="3">
        <v>45926</v>
      </c>
      <c r="C166" s="4">
        <v>378.04998779296801</v>
      </c>
      <c r="D166">
        <f t="shared" si="83"/>
        <v>1.7881399163491556E-2</v>
      </c>
    </row>
    <row r="167" spans="2:4" x14ac:dyDescent="0.35">
      <c r="B167" s="3">
        <v>45929</v>
      </c>
      <c r="C167" s="4">
        <v>372.20001220703102</v>
      </c>
      <c r="D167">
        <f t="shared" si="83"/>
        <v>-1.5595052709697417E-2</v>
      </c>
    </row>
    <row r="168" spans="2:4" x14ac:dyDescent="0.35">
      <c r="B168" s="3">
        <v>45930</v>
      </c>
      <c r="C168" s="4">
        <v>374.850006103515</v>
      </c>
      <c r="D168">
        <f t="shared" si="83"/>
        <v>7.0945852265074452E-3</v>
      </c>
    </row>
    <row r="169" spans="2:4" x14ac:dyDescent="0.35">
      <c r="B169" s="3">
        <v>45931</v>
      </c>
      <c r="C169" s="4">
        <v>383.89999389648398</v>
      </c>
      <c r="D169">
        <f t="shared" si="83"/>
        <v>2.3856123876414718E-2</v>
      </c>
    </row>
    <row r="170" spans="2:4" x14ac:dyDescent="0.35">
      <c r="B170" s="3">
        <v>45932</v>
      </c>
      <c r="C170" s="4">
        <v>378.100006103515</v>
      </c>
      <c r="D170">
        <f t="shared" si="83"/>
        <v>-1.5223359068557077E-2</v>
      </c>
    </row>
    <row r="171" spans="2:4" x14ac:dyDescent="0.35">
      <c r="B171" s="3">
        <v>45933</v>
      </c>
      <c r="C171" s="4">
        <v>390.75</v>
      </c>
      <c r="D171">
        <f t="shared" si="83"/>
        <v>3.2909242262104448E-2</v>
      </c>
    </row>
    <row r="172" spans="2:4" x14ac:dyDescent="0.35">
      <c r="B172" s="3">
        <v>45936</v>
      </c>
      <c r="C172" s="4">
        <v>381.350006103515</v>
      </c>
      <c r="D172">
        <f t="shared" si="83"/>
        <v>-2.4350364686316898E-2</v>
      </c>
    </row>
    <row r="173" spans="2:4" x14ac:dyDescent="0.35">
      <c r="B173" s="3">
        <v>45937</v>
      </c>
      <c r="C173" s="4">
        <v>375.39999389648398</v>
      </c>
      <c r="D173">
        <f t="shared" si="83"/>
        <v>-1.5725496721560903E-2</v>
      </c>
    </row>
    <row r="174" spans="2:4" x14ac:dyDescent="0.35">
      <c r="B174" s="3">
        <v>45938</v>
      </c>
      <c r="C174" s="4">
        <v>385.100006103515</v>
      </c>
      <c r="D174">
        <f t="shared" si="83"/>
        <v>2.5510948776324021E-2</v>
      </c>
    </row>
    <row r="175" spans="2:4" x14ac:dyDescent="0.35">
      <c r="B175" s="3">
        <v>45939</v>
      </c>
      <c r="C175" s="4">
        <v>377.25</v>
      </c>
      <c r="D175">
        <f t="shared" si="83"/>
        <v>-2.0594959022073835E-2</v>
      </c>
    </row>
    <row r="176" spans="2:4" x14ac:dyDescent="0.35">
      <c r="B176" s="3">
        <v>45940</v>
      </c>
      <c r="C176" s="4">
        <v>373.04998779296801</v>
      </c>
      <c r="D176">
        <f t="shared" si="83"/>
        <v>-1.1195671452676378E-2</v>
      </c>
    </row>
    <row r="177" spans="2:4" x14ac:dyDescent="0.35">
      <c r="B177" s="3">
        <v>45943</v>
      </c>
      <c r="C177" s="4">
        <v>385.20001220703102</v>
      </c>
      <c r="D177">
        <f t="shared" si="83"/>
        <v>3.2050285418799805E-2</v>
      </c>
    </row>
    <row r="178" spans="2:4" x14ac:dyDescent="0.35">
      <c r="B178" s="3">
        <v>45944</v>
      </c>
      <c r="C178" s="4">
        <v>399.64999389648398</v>
      </c>
      <c r="D178">
        <f t="shared" si="83"/>
        <v>3.6826437185793155E-2</v>
      </c>
    </row>
    <row r="179" spans="2:4" x14ac:dyDescent="0.35">
      <c r="B179" s="3">
        <v>45945</v>
      </c>
      <c r="C179" s="4">
        <v>394.89999389648398</v>
      </c>
      <c r="D179">
        <f t="shared" si="83"/>
        <v>-1.1956595963123281E-2</v>
      </c>
    </row>
    <row r="180" spans="2:4" x14ac:dyDescent="0.35">
      <c r="B180" s="3">
        <v>45946</v>
      </c>
      <c r="C180" s="4">
        <v>393.79998779296801</v>
      </c>
      <c r="D180">
        <f t="shared" si="83"/>
        <v>-2.7894176297765024E-3</v>
      </c>
    </row>
    <row r="181" spans="2:4" x14ac:dyDescent="0.35">
      <c r="B181" s="3">
        <v>45947</v>
      </c>
      <c r="C181" s="4">
        <v>397.45001220703102</v>
      </c>
      <c r="D181">
        <f t="shared" si="83"/>
        <v>9.2260355255214775E-3</v>
      </c>
    </row>
    <row r="182" spans="2:4" x14ac:dyDescent="0.35">
      <c r="B182" s="3">
        <v>45950</v>
      </c>
      <c r="C182" s="4">
        <v>406.04998779296801</v>
      </c>
      <c r="D182">
        <f t="shared" si="83"/>
        <v>2.1407103933043944E-2</v>
      </c>
    </row>
    <row r="183" spans="2:4" x14ac:dyDescent="0.35">
      <c r="B183" s="3">
        <v>45951</v>
      </c>
      <c r="C183" s="4">
        <v>413.54998779296801</v>
      </c>
      <c r="D183">
        <f t="shared" si="83"/>
        <v>1.8302121954705496E-2</v>
      </c>
    </row>
    <row r="184" spans="2:4" x14ac:dyDescent="0.35">
      <c r="B184" s="3">
        <v>45952</v>
      </c>
      <c r="C184" s="4">
        <v>420.850006103515</v>
      </c>
      <c r="D184">
        <f t="shared" si="83"/>
        <v>1.7498093540166616E-2</v>
      </c>
    </row>
    <row r="185" spans="2:4" x14ac:dyDescent="0.35">
      <c r="B185" s="3">
        <v>45953</v>
      </c>
      <c r="C185" s="4">
        <v>410.14999389648398</v>
      </c>
      <c r="D185">
        <f t="shared" si="83"/>
        <v>-2.5753558592833941E-2</v>
      </c>
    </row>
    <row r="186" spans="2:4" x14ac:dyDescent="0.35">
      <c r="B186" s="3">
        <v>45954</v>
      </c>
      <c r="C186" s="4">
        <v>403</v>
      </c>
      <c r="D186">
        <f t="shared" si="83"/>
        <v>-1.7586369620895707E-2</v>
      </c>
    </row>
    <row r="187" spans="2:4" x14ac:dyDescent="0.35">
      <c r="B187" s="3">
        <v>45957</v>
      </c>
      <c r="C187" s="4">
        <v>390.100006103515</v>
      </c>
      <c r="D187">
        <f t="shared" si="83"/>
        <v>-3.2533429788045659E-2</v>
      </c>
    </row>
    <row r="188" spans="2:4" x14ac:dyDescent="0.35">
      <c r="B188" s="3">
        <v>45958</v>
      </c>
      <c r="C188" s="4">
        <v>387.89999389648398</v>
      </c>
      <c r="D188">
        <f t="shared" si="83"/>
        <v>-5.655573447482712E-3</v>
      </c>
    </row>
    <row r="189" spans="2:4" x14ac:dyDescent="0.35">
      <c r="B189" s="3">
        <v>45959</v>
      </c>
      <c r="C189" s="4">
        <v>390.70001220703102</v>
      </c>
      <c r="D189">
        <f t="shared" si="83"/>
        <v>7.1924745938703114E-3</v>
      </c>
    </row>
    <row r="190" spans="2:4" x14ac:dyDescent="0.35">
      <c r="B190" s="3">
        <v>45960</v>
      </c>
      <c r="C190" s="4">
        <v>392</v>
      </c>
      <c r="D190">
        <f t="shared" si="83"/>
        <v>3.3218064854375852E-3</v>
      </c>
    </row>
    <row r="191" spans="2:4" x14ac:dyDescent="0.35">
      <c r="B191" s="3">
        <v>45961</v>
      </c>
      <c r="C191" s="4">
        <v>392.04998779296801</v>
      </c>
      <c r="D191">
        <f t="shared" si="83"/>
        <v>1.2751175005160228E-4</v>
      </c>
    </row>
    <row r="192" spans="2:4" x14ac:dyDescent="0.35">
      <c r="B192" s="3">
        <v>45964</v>
      </c>
      <c r="C192" s="4">
        <v>406.64999389648398</v>
      </c>
      <c r="D192">
        <f t="shared" si="83"/>
        <v>3.6563498063008876E-2</v>
      </c>
    </row>
    <row r="193" spans="2:4" x14ac:dyDescent="0.35">
      <c r="B193" s="3">
        <v>45965</v>
      </c>
      <c r="C193" s="4">
        <v>405.25</v>
      </c>
      <c r="D193">
        <f t="shared" si="83"/>
        <v>-3.4486889877375134E-3</v>
      </c>
    </row>
    <row r="194" spans="2:4" x14ac:dyDescent="0.35">
      <c r="B194" s="3">
        <v>45966</v>
      </c>
      <c r="C194" s="4">
        <v>413.600006103515</v>
      </c>
      <c r="D194">
        <f t="shared" si="83"/>
        <v>2.0395177335481674E-2</v>
      </c>
    </row>
    <row r="195" spans="2:4" x14ac:dyDescent="0.35">
      <c r="B195" s="3">
        <v>45967</v>
      </c>
      <c r="C195" s="4">
        <v>396.75</v>
      </c>
      <c r="D195">
        <f t="shared" si="83"/>
        <v>-4.1592978544748679E-2</v>
      </c>
    </row>
    <row r="196" spans="2:4" x14ac:dyDescent="0.35">
      <c r="B196" s="3">
        <v>45968</v>
      </c>
      <c r="C196" s="4">
        <v>407.79998779296801</v>
      </c>
      <c r="D196">
        <f t="shared" si="83"/>
        <v>2.7470468799966365E-2</v>
      </c>
    </row>
    <row r="197" spans="2:4" x14ac:dyDescent="0.35">
      <c r="B197" s="3">
        <v>45971</v>
      </c>
      <c r="C197" s="4">
        <v>414.75</v>
      </c>
      <c r="D197">
        <f t="shared" si="83"/>
        <v>1.6899100864069101E-2</v>
      </c>
    </row>
    <row r="198" spans="2:4" x14ac:dyDescent="0.35">
      <c r="B198" s="3">
        <v>45972</v>
      </c>
      <c r="C198" s="4">
        <v>422.70001220703102</v>
      </c>
      <c r="D198">
        <f t="shared" ref="D198:D257" si="84">LN(C198/C197)</f>
        <v>1.8986807380900684E-2</v>
      </c>
    </row>
    <row r="199" spans="2:4" x14ac:dyDescent="0.35">
      <c r="B199" s="3">
        <v>45973</v>
      </c>
      <c r="C199" s="4">
        <v>403.64999389648398</v>
      </c>
      <c r="D199">
        <f t="shared" si="84"/>
        <v>-4.6114585731242781E-2</v>
      </c>
    </row>
    <row r="200" spans="2:4" x14ac:dyDescent="0.35">
      <c r="B200" s="3">
        <v>45974</v>
      </c>
      <c r="C200" s="4">
        <v>401.70001220703102</v>
      </c>
      <c r="D200">
        <f t="shared" si="84"/>
        <v>-4.8425789665489652E-3</v>
      </c>
    </row>
    <row r="201" spans="2:4" x14ac:dyDescent="0.35">
      <c r="B201" s="3">
        <v>45975</v>
      </c>
      <c r="C201" s="4">
        <v>399.79998779296801</v>
      </c>
      <c r="D201">
        <f t="shared" si="84"/>
        <v>-4.7411802202099295E-3</v>
      </c>
    </row>
    <row r="202" spans="2:4" x14ac:dyDescent="0.35">
      <c r="B202" s="3">
        <v>45978</v>
      </c>
      <c r="C202" s="4">
        <v>402.54998779296801</v>
      </c>
      <c r="D202">
        <f t="shared" si="84"/>
        <v>6.8548908882737087E-3</v>
      </c>
    </row>
    <row r="203" spans="2:4" x14ac:dyDescent="0.35">
      <c r="B203" s="3">
        <v>45979</v>
      </c>
      <c r="C203" s="4">
        <v>415.350006103515</v>
      </c>
      <c r="D203">
        <f t="shared" si="84"/>
        <v>3.130227055822582E-2</v>
      </c>
    </row>
    <row r="204" spans="2:4" x14ac:dyDescent="0.35">
      <c r="B204" s="3">
        <v>45980</v>
      </c>
      <c r="C204" s="4">
        <v>404.5</v>
      </c>
      <c r="D204">
        <f t="shared" si="84"/>
        <v>-2.6469816481405836E-2</v>
      </c>
    </row>
    <row r="205" spans="2:4" x14ac:dyDescent="0.35">
      <c r="B205" s="3">
        <v>45981</v>
      </c>
      <c r="C205" s="4">
        <v>406.5</v>
      </c>
      <c r="D205">
        <f t="shared" si="84"/>
        <v>4.9321924893188721E-3</v>
      </c>
    </row>
    <row r="206" spans="2:4" x14ac:dyDescent="0.35">
      <c r="B206" s="3">
        <v>45982</v>
      </c>
      <c r="C206" s="4">
        <v>400</v>
      </c>
      <c r="D206">
        <f t="shared" si="84"/>
        <v>-1.61193818798833E-2</v>
      </c>
    </row>
    <row r="207" spans="2:4" x14ac:dyDescent="0.35">
      <c r="B207" s="3">
        <v>45985</v>
      </c>
      <c r="C207" s="4">
        <v>407.45001220703102</v>
      </c>
      <c r="D207">
        <f t="shared" si="84"/>
        <v>1.8453708617826647E-2</v>
      </c>
    </row>
    <row r="208" spans="2:4" x14ac:dyDescent="0.35">
      <c r="B208" s="3">
        <v>45986</v>
      </c>
      <c r="C208" s="4">
        <v>414.20001220703102</v>
      </c>
      <c r="D208">
        <f t="shared" si="84"/>
        <v>1.6430722707019358E-2</v>
      </c>
    </row>
    <row r="209" spans="2:4" x14ac:dyDescent="0.35">
      <c r="B209" s="3">
        <v>45987</v>
      </c>
      <c r="C209" s="4">
        <v>411.5</v>
      </c>
      <c r="D209">
        <f t="shared" si="84"/>
        <v>-6.5399583157036544E-3</v>
      </c>
    </row>
    <row r="210" spans="2:4" x14ac:dyDescent="0.35">
      <c r="B210" s="3">
        <v>45989</v>
      </c>
      <c r="C210" s="4">
        <v>413</v>
      </c>
      <c r="D210">
        <f t="shared" si="84"/>
        <v>3.6385728439083109E-3</v>
      </c>
    </row>
    <row r="211" spans="2:4" x14ac:dyDescent="0.35">
      <c r="B211" s="3">
        <v>45992</v>
      </c>
      <c r="C211" s="4">
        <v>411.5</v>
      </c>
      <c r="D211">
        <f t="shared" si="84"/>
        <v>-3.6385728439082914E-3</v>
      </c>
    </row>
    <row r="212" spans="2:4" x14ac:dyDescent="0.35">
      <c r="B212" s="3">
        <v>45993</v>
      </c>
      <c r="C212" s="4">
        <v>405.54998779296801</v>
      </c>
      <c r="D212">
        <f t="shared" si="84"/>
        <v>-1.456487970071452E-2</v>
      </c>
    </row>
    <row r="213" spans="2:4" x14ac:dyDescent="0.35">
      <c r="B213" s="3">
        <v>45994</v>
      </c>
      <c r="C213" s="4">
        <v>403.75</v>
      </c>
      <c r="D213">
        <f t="shared" si="84"/>
        <v>-4.448265879543758E-3</v>
      </c>
    </row>
    <row r="214" spans="2:4" x14ac:dyDescent="0.35">
      <c r="B214" s="3">
        <v>45995</v>
      </c>
      <c r="C214" s="4">
        <v>411.95001220703102</v>
      </c>
      <c r="D214">
        <f t="shared" si="84"/>
        <v>2.0106137857044598E-2</v>
      </c>
    </row>
    <row r="215" spans="2:4" x14ac:dyDescent="0.35">
      <c r="B215" s="3">
        <v>45996</v>
      </c>
      <c r="C215" s="4">
        <v>406.25</v>
      </c>
      <c r="D215">
        <f t="shared" si="84"/>
        <v>-1.3933278749963522E-2</v>
      </c>
    </row>
    <row r="216" spans="2:4" x14ac:dyDescent="0.35">
      <c r="B216" s="3">
        <v>45999</v>
      </c>
      <c r="C216" s="4">
        <v>396.04998779296801</v>
      </c>
      <c r="D216">
        <f t="shared" si="84"/>
        <v>-2.5428298555605758E-2</v>
      </c>
    </row>
    <row r="217" spans="2:4" x14ac:dyDescent="0.35">
      <c r="B217" s="3">
        <v>46000</v>
      </c>
      <c r="C217" s="4">
        <v>394.20001220703102</v>
      </c>
      <c r="D217">
        <f t="shared" si="84"/>
        <v>-4.682009403129018E-3</v>
      </c>
    </row>
    <row r="218" spans="2:4" x14ac:dyDescent="0.35">
      <c r="B218" s="3">
        <v>46001</v>
      </c>
      <c r="C218" s="4">
        <v>400.79998779296801</v>
      </c>
      <c r="D218">
        <f t="shared" si="84"/>
        <v>1.6604093628775358E-2</v>
      </c>
    </row>
    <row r="219" spans="2:4" x14ac:dyDescent="0.35">
      <c r="B219" s="3">
        <v>46002</v>
      </c>
      <c r="C219" s="4">
        <v>405.45001220703102</v>
      </c>
      <c r="D219">
        <f t="shared" si="84"/>
        <v>1.1535072183942558E-2</v>
      </c>
    </row>
    <row r="220" spans="2:4" x14ac:dyDescent="0.35">
      <c r="B220" s="3">
        <v>46003</v>
      </c>
      <c r="C220" s="4">
        <v>397.20001220703102</v>
      </c>
      <c r="D220">
        <f t="shared" si="84"/>
        <v>-2.0557628594207046E-2</v>
      </c>
    </row>
    <row r="221" spans="2:4" x14ac:dyDescent="0.35">
      <c r="B221" s="3">
        <v>46006</v>
      </c>
      <c r="C221" s="4">
        <v>387.70001220703102</v>
      </c>
      <c r="D221">
        <f t="shared" si="84"/>
        <v>-2.420808674107575E-2</v>
      </c>
    </row>
    <row r="222" spans="2:4" x14ac:dyDescent="0.35">
      <c r="B222" s="3">
        <v>46007</v>
      </c>
      <c r="C222" s="4">
        <v>379.29998779296801</v>
      </c>
      <c r="D222">
        <f t="shared" si="84"/>
        <v>-2.190445965084804E-2</v>
      </c>
    </row>
    <row r="223" spans="2:4" x14ac:dyDescent="0.35">
      <c r="B223" s="3">
        <v>46008</v>
      </c>
      <c r="C223" s="4">
        <v>351.89999389648398</v>
      </c>
      <c r="D223">
        <f t="shared" si="84"/>
        <v>-7.4980389528722047E-2</v>
      </c>
    </row>
    <row r="224" spans="2:4" x14ac:dyDescent="0.35">
      <c r="B224" s="3">
        <v>46009</v>
      </c>
      <c r="C224" s="4">
        <v>345.45001220703102</v>
      </c>
      <c r="D224">
        <f t="shared" si="84"/>
        <v>-1.8499076711667076E-2</v>
      </c>
    </row>
    <row r="225" spans="2:4" x14ac:dyDescent="0.35">
      <c r="B225" s="3">
        <v>46010</v>
      </c>
      <c r="C225" s="4">
        <v>340.64999389648398</v>
      </c>
      <c r="D225">
        <f t="shared" si="84"/>
        <v>-1.3992410968997736E-2</v>
      </c>
    </row>
    <row r="226" spans="2:4" x14ac:dyDescent="0.35">
      <c r="B226" s="3">
        <v>46013</v>
      </c>
      <c r="C226" s="4">
        <v>347.350006103515</v>
      </c>
      <c r="D226">
        <f t="shared" si="84"/>
        <v>1.9477395408133681E-2</v>
      </c>
    </row>
    <row r="227" spans="2:4" x14ac:dyDescent="0.35">
      <c r="B227" s="3">
        <v>46014</v>
      </c>
      <c r="C227" s="4">
        <v>346.95001220703102</v>
      </c>
      <c r="D227">
        <f t="shared" si="84"/>
        <v>-1.1522221811558645E-3</v>
      </c>
    </row>
    <row r="228" spans="2:4" x14ac:dyDescent="0.35">
      <c r="B228" s="3">
        <v>46015</v>
      </c>
      <c r="C228" s="4">
        <v>345.14999389648398</v>
      </c>
      <c r="D228">
        <f t="shared" si="84"/>
        <v>-5.2016250635685901E-3</v>
      </c>
    </row>
    <row r="229" spans="2:4" x14ac:dyDescent="0.35">
      <c r="B229" s="3">
        <v>46017</v>
      </c>
      <c r="C229" s="4">
        <v>350.25</v>
      </c>
      <c r="D229">
        <f t="shared" si="84"/>
        <v>1.4668097751294301E-2</v>
      </c>
    </row>
    <row r="230" spans="2:4" x14ac:dyDescent="0.35">
      <c r="B230" s="3">
        <v>46020</v>
      </c>
      <c r="C230" s="4">
        <v>352.14999389648398</v>
      </c>
      <c r="D230">
        <f t="shared" si="84"/>
        <v>5.4100186421545925E-3</v>
      </c>
    </row>
    <row r="231" spans="2:4" x14ac:dyDescent="0.35">
      <c r="B231" s="3">
        <v>46021</v>
      </c>
      <c r="C231" s="4">
        <v>350.20001220703102</v>
      </c>
      <c r="D231">
        <f t="shared" si="84"/>
        <v>-5.5527491502069528E-3</v>
      </c>
    </row>
    <row r="232" spans="2:4" x14ac:dyDescent="0.35">
      <c r="B232" s="3">
        <v>46022</v>
      </c>
      <c r="C232" s="4">
        <v>348.75</v>
      </c>
      <c r="D232">
        <f t="shared" si="84"/>
        <v>-4.1491215734884698E-3</v>
      </c>
    </row>
    <row r="233" spans="2:4" x14ac:dyDescent="0.35">
      <c r="B233" s="3">
        <v>46024</v>
      </c>
      <c r="C233" s="4">
        <v>357.29998779296801</v>
      </c>
      <c r="D233">
        <f t="shared" si="84"/>
        <v>2.4220397729130979E-2</v>
      </c>
    </row>
    <row r="234" spans="2:4" x14ac:dyDescent="0.35">
      <c r="B234" s="3">
        <v>46027</v>
      </c>
      <c r="C234" s="4">
        <v>359.350006103515</v>
      </c>
      <c r="D234">
        <f t="shared" si="84"/>
        <v>5.7211300346204615E-3</v>
      </c>
    </row>
    <row r="235" spans="2:4" x14ac:dyDescent="0.35">
      <c r="B235" s="3">
        <v>46028</v>
      </c>
      <c r="C235" s="4">
        <v>373.850006103515</v>
      </c>
      <c r="D235">
        <f t="shared" si="84"/>
        <v>3.9557802872704266E-2</v>
      </c>
    </row>
    <row r="236" spans="2:4" x14ac:dyDescent="0.35">
      <c r="B236" s="3">
        <v>46029</v>
      </c>
      <c r="C236" s="4">
        <v>375.45001220703102</v>
      </c>
      <c r="D236">
        <f t="shared" si="84"/>
        <v>4.2706752869283438E-3</v>
      </c>
    </row>
    <row r="237" spans="2:4" x14ac:dyDescent="0.35">
      <c r="B237" s="3">
        <v>46030</v>
      </c>
      <c r="C237" s="4">
        <v>372.350006103515</v>
      </c>
      <c r="D237">
        <f t="shared" si="84"/>
        <v>-8.2910505104291047E-3</v>
      </c>
    </row>
    <row r="238" spans="2:4" x14ac:dyDescent="0.35">
      <c r="B238" s="3">
        <v>46031</v>
      </c>
      <c r="C238" s="4">
        <v>357.64999389648398</v>
      </c>
      <c r="D238">
        <f t="shared" si="84"/>
        <v>-4.0279451059749359E-2</v>
      </c>
    </row>
    <row r="239" spans="2:4" x14ac:dyDescent="0.35">
      <c r="B239" s="3">
        <v>46034</v>
      </c>
      <c r="C239" s="4">
        <v>356.04998779296801</v>
      </c>
      <c r="D239">
        <f t="shared" si="84"/>
        <v>-4.4837013452482359E-3</v>
      </c>
    </row>
    <row r="240" spans="2:4" x14ac:dyDescent="0.35">
      <c r="B240" s="3">
        <v>46035</v>
      </c>
      <c r="C240" s="4">
        <v>360.25</v>
      </c>
      <c r="D240">
        <f t="shared" si="84"/>
        <v>1.1727098736098703E-2</v>
      </c>
    </row>
    <row r="241" spans="2:4" x14ac:dyDescent="0.35">
      <c r="B241" s="3">
        <v>46036</v>
      </c>
      <c r="C241" s="4">
        <v>356</v>
      </c>
      <c r="D241">
        <f t="shared" si="84"/>
        <v>-1.1867504027600981E-2</v>
      </c>
    </row>
    <row r="242" spans="2:4" x14ac:dyDescent="0.35">
      <c r="B242" s="3">
        <v>46037</v>
      </c>
      <c r="C242" s="4">
        <v>358.100006103515</v>
      </c>
      <c r="D242">
        <f t="shared" si="84"/>
        <v>5.8815631965200973E-3</v>
      </c>
    </row>
    <row r="243" spans="2:4" x14ac:dyDescent="0.35">
      <c r="B243" s="3">
        <v>46038</v>
      </c>
      <c r="C243" s="4">
        <v>355.29998779296801</v>
      </c>
      <c r="D243">
        <f t="shared" si="84"/>
        <v>-7.8498253785412898E-3</v>
      </c>
    </row>
    <row r="244" spans="2:4" x14ac:dyDescent="0.35">
      <c r="B244" s="3">
        <v>46042</v>
      </c>
      <c r="C244" s="4">
        <v>346.5</v>
      </c>
      <c r="D244">
        <f t="shared" si="84"/>
        <v>-2.5079650040051374E-2</v>
      </c>
    </row>
    <row r="245" spans="2:4" x14ac:dyDescent="0.35">
      <c r="B245" s="3">
        <v>46043</v>
      </c>
      <c r="C245" s="4">
        <v>347.5</v>
      </c>
      <c r="D245">
        <f t="shared" si="84"/>
        <v>2.8818463748889502E-3</v>
      </c>
    </row>
    <row r="246" spans="2:4" x14ac:dyDescent="0.35">
      <c r="B246" s="3">
        <v>46044</v>
      </c>
      <c r="C246" s="4">
        <v>347.70001220703102</v>
      </c>
      <c r="D246">
        <f t="shared" si="84"/>
        <v>5.7540911690910949E-4</v>
      </c>
    </row>
    <row r="247" spans="2:4" x14ac:dyDescent="0.35">
      <c r="B247" s="3">
        <v>46045</v>
      </c>
      <c r="C247" s="4">
        <v>350.89999389648398</v>
      </c>
      <c r="D247">
        <f t="shared" si="84"/>
        <v>9.1611910735233514E-3</v>
      </c>
    </row>
    <row r="248" spans="2:4" x14ac:dyDescent="0.35">
      <c r="B248" s="3">
        <v>46048</v>
      </c>
      <c r="C248" s="4">
        <v>356.25</v>
      </c>
      <c r="D248">
        <f t="shared" si="84"/>
        <v>1.5131466387580993E-2</v>
      </c>
    </row>
    <row r="249" spans="2:4" x14ac:dyDescent="0.35">
      <c r="B249" s="3">
        <v>46049</v>
      </c>
      <c r="C249" s="4">
        <v>367.25</v>
      </c>
      <c r="D249">
        <f t="shared" si="84"/>
        <v>3.0410083471126326E-2</v>
      </c>
    </row>
    <row r="250" spans="2:4" x14ac:dyDescent="0.35">
      <c r="B250" s="3">
        <v>46050</v>
      </c>
      <c r="C250" s="4">
        <v>351</v>
      </c>
      <c r="D250">
        <f t="shared" si="84"/>
        <v>-4.5256591588120829E-2</v>
      </c>
    </row>
    <row r="251" spans="2:4" x14ac:dyDescent="0.35">
      <c r="B251" s="3">
        <v>46051</v>
      </c>
      <c r="C251" s="4">
        <v>345.5</v>
      </c>
      <c r="D251">
        <f t="shared" si="84"/>
        <v>-1.5793580258141243E-2</v>
      </c>
    </row>
    <row r="252" spans="2:4" x14ac:dyDescent="0.35">
      <c r="B252" s="3">
        <v>46052</v>
      </c>
      <c r="C252" s="4">
        <v>332.25</v>
      </c>
      <c r="D252">
        <f t="shared" si="84"/>
        <v>-3.9104945614369828E-2</v>
      </c>
    </row>
    <row r="253" spans="2:4" x14ac:dyDescent="0.35">
      <c r="B253" s="3">
        <v>46055</v>
      </c>
      <c r="C253" s="4">
        <v>333.25</v>
      </c>
      <c r="D253">
        <f t="shared" si="84"/>
        <v>3.0052614654632955E-3</v>
      </c>
    </row>
    <row r="254" spans="2:4" x14ac:dyDescent="0.35">
      <c r="B254" s="3">
        <v>46056</v>
      </c>
      <c r="C254" s="4">
        <v>317.100006103515</v>
      </c>
      <c r="D254">
        <f t="shared" si="84"/>
        <v>-4.9675758266598015E-2</v>
      </c>
    </row>
    <row r="255" spans="2:4" x14ac:dyDescent="0.35">
      <c r="B255" s="3">
        <v>46057</v>
      </c>
      <c r="C255" s="4">
        <v>308.64999389648398</v>
      </c>
      <c r="D255">
        <f t="shared" si="84"/>
        <v>-2.7009271727193106E-2</v>
      </c>
    </row>
    <row r="256" spans="2:4" x14ac:dyDescent="0.35">
      <c r="B256" s="3">
        <v>46058</v>
      </c>
      <c r="C256" s="4">
        <v>308.39999389648398</v>
      </c>
      <c r="D256">
        <f t="shared" si="84"/>
        <v>-8.1030716676066888E-4</v>
      </c>
    </row>
    <row r="257" spans="2:4" x14ac:dyDescent="0.35">
      <c r="B257" s="3">
        <v>46059</v>
      </c>
      <c r="C257" s="4">
        <v>286.70001220703102</v>
      </c>
      <c r="D257">
        <f t="shared" si="84"/>
        <v>-7.2961206431227485E-2</v>
      </c>
    </row>
  </sheetData>
  <mergeCells count="4">
    <mergeCell ref="F4:G4"/>
    <mergeCell ref="I4:J4"/>
    <mergeCell ref="B1:AZ2"/>
    <mergeCell ref="F9:J9"/>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Executive Summary </vt:lpstr>
      <vt:lpstr>Report Dashboard</vt:lpstr>
      <vt:lpstr>Cost of Carry Model</vt:lpstr>
      <vt:lpstr>Black-Scholes Model</vt:lpstr>
      <vt:lpstr>Monte Carlo Simulation</vt:lpstr>
      <vt:lpstr>'Report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Reza</dc:creator>
  <cp:lastModifiedBy>Ahmad Reza</cp:lastModifiedBy>
  <cp:lastPrinted>2026-02-08T03:17:07Z</cp:lastPrinted>
  <dcterms:created xsi:type="dcterms:W3CDTF">2026-02-07T04:11:13Z</dcterms:created>
  <dcterms:modified xsi:type="dcterms:W3CDTF">2026-02-08T05:04:00Z</dcterms:modified>
</cp:coreProperties>
</file>